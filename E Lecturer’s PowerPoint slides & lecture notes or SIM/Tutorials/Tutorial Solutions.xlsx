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82" documentId="8_{717345B2-4101-4141-AF7D-BE7BF377255A}" xr6:coauthVersionLast="36" xr6:coauthVersionMax="36" xr10:uidLastSave="{110CAD26-556B-4900-8336-83044E169BB7}"/>
  <bookViews>
    <workbookView xWindow="0" yWindow="0" windowWidth="28800" windowHeight="11625" activeTab="4" xr2:uid="{28BD3EFB-EE3F-4F3B-A77B-16B2CBCA9B86}"/>
  </bookViews>
  <sheets>
    <sheet name="1Q2" sheetId="1" r:id="rId1"/>
    <sheet name="1Q3" sheetId="2" r:id="rId2"/>
    <sheet name="2Q1" sheetId="3" r:id="rId3"/>
    <sheet name="2Q2" sheetId="4" r:id="rId4"/>
    <sheet name="2Q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5" l="1"/>
  <c r="A10" i="5"/>
  <c r="A15" i="5"/>
  <c r="A14" i="5"/>
  <c r="A13" i="5"/>
  <c r="A12" i="5"/>
  <c r="J7" i="5"/>
  <c r="J2" i="5"/>
  <c r="J3" i="5"/>
  <c r="J4" i="5"/>
  <c r="J5" i="5"/>
  <c r="J6" i="5"/>
  <c r="I2" i="5"/>
  <c r="H2" i="5"/>
  <c r="H3" i="5"/>
  <c r="I3" i="5" s="1"/>
  <c r="H4" i="5"/>
  <c r="I4" i="5" s="1"/>
  <c r="H5" i="5"/>
  <c r="I5" i="5" s="1"/>
  <c r="H6" i="5"/>
  <c r="I6" i="5" s="1"/>
  <c r="D2" i="5"/>
  <c r="E2" i="5" s="1"/>
  <c r="F2" i="5" s="1"/>
  <c r="D3" i="5"/>
  <c r="E3" i="5" s="1"/>
  <c r="F3" i="5" s="1"/>
  <c r="D4" i="5"/>
  <c r="E4" i="5" s="1"/>
  <c r="F4" i="5" s="1"/>
  <c r="D5" i="5"/>
  <c r="E5" i="5" s="1"/>
  <c r="F5" i="5" s="1"/>
  <c r="D6" i="5"/>
  <c r="E6" i="5" s="1"/>
  <c r="F6" i="5" s="1"/>
  <c r="B16" i="4"/>
  <c r="A16" i="4"/>
  <c r="F7" i="5" l="1"/>
  <c r="J3" i="2"/>
  <c r="J4" i="2"/>
  <c r="J5" i="2"/>
  <c r="J6" i="2"/>
  <c r="J7" i="2"/>
  <c r="J8" i="2"/>
  <c r="J9" i="2"/>
  <c r="J10" i="2"/>
  <c r="J11" i="2"/>
  <c r="J2" i="2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D13" i="3" l="1"/>
  <c r="D8" i="3"/>
  <c r="D5" i="3"/>
  <c r="D7" i="3"/>
  <c r="D10" i="3"/>
  <c r="D12" i="3"/>
  <c r="D11" i="3"/>
  <c r="D3" i="3"/>
  <c r="D2" i="3"/>
  <c r="D4" i="3"/>
  <c r="D6" i="3"/>
  <c r="D9" i="3"/>
  <c r="H2" i="2"/>
  <c r="H3" i="2"/>
  <c r="H4" i="2"/>
  <c r="H5" i="2"/>
  <c r="H6" i="2"/>
  <c r="H7" i="2"/>
  <c r="H8" i="2"/>
  <c r="H9" i="2"/>
  <c r="H10" i="2"/>
  <c r="H11" i="2"/>
  <c r="G2" i="2"/>
  <c r="G3" i="2"/>
  <c r="G4" i="2"/>
  <c r="G5" i="2"/>
  <c r="G6" i="2"/>
  <c r="G7" i="2"/>
  <c r="G8" i="2"/>
  <c r="G9" i="2"/>
  <c r="G10" i="2"/>
  <c r="G11" i="2"/>
  <c r="F3" i="1"/>
  <c r="H3" i="1" s="1"/>
  <c r="J3" i="1" s="1"/>
  <c r="F4" i="1"/>
  <c r="H4" i="1" s="1"/>
  <c r="J4" i="1" s="1"/>
  <c r="F5" i="1"/>
  <c r="H5" i="1" s="1"/>
  <c r="J5" i="1" s="1"/>
  <c r="F6" i="1"/>
  <c r="H6" i="1" s="1"/>
  <c r="J6" i="1" s="1"/>
  <c r="F7" i="1"/>
  <c r="H7" i="1" s="1"/>
  <c r="J7" i="1" s="1"/>
  <c r="F8" i="1"/>
  <c r="H8" i="1" s="1"/>
  <c r="J8" i="1" s="1"/>
  <c r="F9" i="1"/>
  <c r="H9" i="1" s="1"/>
  <c r="J9" i="1" s="1"/>
  <c r="F10" i="1"/>
  <c r="H10" i="1" s="1"/>
  <c r="J10" i="1" s="1"/>
  <c r="F11" i="1"/>
  <c r="H11" i="1" s="1"/>
  <c r="J11" i="1" s="1"/>
  <c r="F12" i="1"/>
  <c r="H12" i="1" s="1"/>
  <c r="J12" i="1" s="1"/>
  <c r="F13" i="1"/>
  <c r="H13" i="1" s="1"/>
  <c r="J13" i="1" s="1"/>
  <c r="F14" i="1"/>
  <c r="H14" i="1" s="1"/>
  <c r="J14" i="1" s="1"/>
  <c r="F15" i="1"/>
  <c r="H15" i="1" s="1"/>
  <c r="J15" i="1" s="1"/>
  <c r="F16" i="1"/>
  <c r="H16" i="1" s="1"/>
  <c r="J16" i="1" s="1"/>
  <c r="F2" i="1"/>
  <c r="H2" i="1" s="1"/>
  <c r="J2" i="1" s="1"/>
  <c r="E3" i="1"/>
  <c r="G3" i="1" s="1"/>
  <c r="I3" i="1" s="1"/>
  <c r="E4" i="1"/>
  <c r="G4" i="1" s="1"/>
  <c r="I4" i="1" s="1"/>
  <c r="E5" i="1"/>
  <c r="G5" i="1" s="1"/>
  <c r="I5" i="1" s="1"/>
  <c r="E6" i="1"/>
  <c r="G6" i="1" s="1"/>
  <c r="I6" i="1" s="1"/>
  <c r="E7" i="1"/>
  <c r="G7" i="1" s="1"/>
  <c r="I7" i="1" s="1"/>
  <c r="E8" i="1"/>
  <c r="G8" i="1" s="1"/>
  <c r="I8" i="1" s="1"/>
  <c r="E9" i="1"/>
  <c r="G9" i="1" s="1"/>
  <c r="I9" i="1" s="1"/>
  <c r="E10" i="1"/>
  <c r="G10" i="1" s="1"/>
  <c r="I10" i="1" s="1"/>
  <c r="E11" i="1"/>
  <c r="G11" i="1" s="1"/>
  <c r="I11" i="1" s="1"/>
  <c r="E12" i="1"/>
  <c r="G12" i="1" s="1"/>
  <c r="I12" i="1" s="1"/>
  <c r="E13" i="1"/>
  <c r="G13" i="1" s="1"/>
  <c r="I13" i="1" s="1"/>
  <c r="E14" i="1"/>
  <c r="G14" i="1" s="1"/>
  <c r="I14" i="1" s="1"/>
  <c r="E15" i="1"/>
  <c r="G15" i="1" s="1"/>
  <c r="I15" i="1" s="1"/>
  <c r="E16" i="1"/>
  <c r="G16" i="1" s="1"/>
  <c r="I16" i="1" s="1"/>
  <c r="E2" i="1"/>
  <c r="G2" i="1" s="1"/>
  <c r="I2" i="1" s="1"/>
  <c r="H14" i="2" l="1"/>
  <c r="H15" i="2"/>
  <c r="G15" i="2"/>
  <c r="G14" i="2"/>
  <c r="K2" i="1"/>
  <c r="K9" i="1"/>
  <c r="L5" i="1"/>
  <c r="K12" i="1"/>
  <c r="K4" i="1"/>
  <c r="L15" i="1"/>
  <c r="L14" i="1"/>
  <c r="L13" i="1"/>
  <c r="L7" i="1"/>
  <c r="L6" i="1"/>
  <c r="L16" i="1"/>
  <c r="L8" i="1"/>
  <c r="E17" i="1"/>
  <c r="F17" i="1"/>
  <c r="L12" i="1"/>
  <c r="L4" i="1"/>
  <c r="K16" i="1"/>
  <c r="L11" i="1"/>
  <c r="L3" i="1"/>
  <c r="L10" i="1"/>
  <c r="L2" i="1"/>
  <c r="K10" i="1"/>
  <c r="L9" i="1"/>
  <c r="K8" i="1"/>
  <c r="K15" i="1"/>
  <c r="K7" i="1"/>
  <c r="K14" i="1"/>
  <c r="K6" i="1"/>
  <c r="K11" i="1"/>
  <c r="K3" i="1"/>
  <c r="K13" i="1"/>
  <c r="K5" i="1"/>
  <c r="K17" i="1" l="1"/>
  <c r="K19" i="1" s="1"/>
  <c r="K20" i="1" s="1"/>
  <c r="K21" i="1" s="1"/>
  <c r="Q6" i="1"/>
  <c r="S6" i="1" s="1"/>
  <c r="L17" i="1"/>
  <c r="L23" i="1" s="1"/>
  <c r="L24" i="1"/>
  <c r="Q14" i="1" l="1"/>
  <c r="S14" i="1" s="1"/>
  <c r="S2" i="1"/>
  <c r="Q2" i="1"/>
  <c r="Q12" i="1"/>
  <c r="S12" i="1" s="1"/>
  <c r="Q16" i="1"/>
  <c r="S16" i="1" s="1"/>
  <c r="Q8" i="1"/>
  <c r="S8" i="1" s="1"/>
  <c r="Q4" i="1"/>
  <c r="S4" i="1" s="1"/>
  <c r="S9" i="1"/>
  <c r="Q9" i="1"/>
  <c r="Q10" i="1"/>
  <c r="S10" i="1" s="1"/>
  <c r="Q5" i="1"/>
  <c r="S5" i="1" s="1"/>
  <c r="S11" i="1"/>
  <c r="Q11" i="1"/>
  <c r="S13" i="1"/>
  <c r="Q13" i="1"/>
  <c r="Q3" i="1"/>
  <c r="S3" i="1" s="1"/>
  <c r="Q7" i="1"/>
  <c r="S7" i="1" s="1"/>
  <c r="S15" i="1"/>
  <c r="Q15" i="1"/>
  <c r="Q17" i="1" l="1"/>
  <c r="Q19" i="1" s="1"/>
  <c r="Q20" i="1" s="1"/>
</calcChain>
</file>

<file path=xl/sharedStrings.xml><?xml version="1.0" encoding="utf-8"?>
<sst xmlns="http://schemas.openxmlformats.org/spreadsheetml/2006/main" count="101" uniqueCount="61">
  <si>
    <t>C</t>
  </si>
  <si>
    <t>A</t>
  </si>
  <si>
    <t>B</t>
  </si>
  <si>
    <t>D</t>
  </si>
  <si>
    <t>x1</t>
  </si>
  <si>
    <t>x2</t>
  </si>
  <si>
    <t>expected class</t>
  </si>
  <si>
    <t>expected x1</t>
  </si>
  <si>
    <t>expected x2</t>
  </si>
  <si>
    <t>index</t>
  </si>
  <si>
    <t>e1</t>
  </si>
  <si>
    <t>e2</t>
  </si>
  <si>
    <t>e1sq</t>
  </si>
  <si>
    <t>e2sq</t>
  </si>
  <si>
    <t>sumerror</t>
  </si>
  <si>
    <t>Total</t>
  </si>
  <si>
    <t>Total error</t>
  </si>
  <si>
    <t>Average sum-squared error</t>
  </si>
  <si>
    <t>per output neuron</t>
  </si>
  <si>
    <t>sumabserror</t>
  </si>
  <si>
    <t>Mean absolute error</t>
  </si>
  <si>
    <t>Max absolute error</t>
  </si>
  <si>
    <t>Average</t>
  </si>
  <si>
    <t>expected diff with mean x1</t>
  </si>
  <si>
    <t>expected diff with mean x2</t>
  </si>
  <si>
    <t>sqdiff x1</t>
  </si>
  <si>
    <t>sqdiff x2</t>
  </si>
  <si>
    <t>sum sqdiff</t>
  </si>
  <si>
    <t>mean error</t>
  </si>
  <si>
    <t>normalised error</t>
  </si>
  <si>
    <t>Generation</t>
  </si>
  <si>
    <t>c1</t>
  </si>
  <si>
    <t>c2</t>
  </si>
  <si>
    <t>c3</t>
  </si>
  <si>
    <t>c4</t>
  </si>
  <si>
    <t>c5</t>
  </si>
  <si>
    <t>best fitness</t>
  </si>
  <si>
    <t>offline</t>
  </si>
  <si>
    <t>gen</t>
  </si>
  <si>
    <t>average fitness</t>
  </si>
  <si>
    <t>Run</t>
  </si>
  <si>
    <t>GA</t>
  </si>
  <si>
    <t>PSO</t>
  </si>
  <si>
    <t>Algorithm</t>
  </si>
  <si>
    <t>Solution</t>
  </si>
  <si>
    <t>Fitness</t>
  </si>
  <si>
    <t>Configuration</t>
  </si>
  <si>
    <t>Accuracy</t>
  </si>
  <si>
    <t>\eaone</t>
  </si>
  <si>
    <t>\eatwo</t>
  </si>
  <si>
    <t>E</t>
  </si>
  <si>
    <t>Actual</t>
  </si>
  <si>
    <t>Classes</t>
  </si>
  <si>
    <t>Predicted 1</t>
  </si>
  <si>
    <t>Predicted 2</t>
  </si>
  <si>
    <t>O-E</t>
  </si>
  <si>
    <t>sq(O-E)</t>
  </si>
  <si>
    <t>sq(O-E)/E</t>
  </si>
  <si>
    <t>O2-E</t>
  </si>
  <si>
    <t>sq(O2-E)</t>
  </si>
  <si>
    <t>sq(O2-E)/E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</si>
</sst>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D6968-C243-4EE2-8238-FE8263808EC7}" name="Table1" displayName="Table1" ref="A1:Q17" totalsRowCount="1">
  <autoFilter ref="A1:Q16" xr:uid="{89C39D7F-58B8-4A50-81FD-59CA79BFFC9B}"/>
  <tableColumns count="17">
    <tableColumn id="1" xr3:uid="{46CB2127-F134-45C6-83BA-60775AD186BF}" name="index" totalsRowLabel="Total"/>
    <tableColumn id="2" xr3:uid="{951BB492-8000-41CD-829C-DE431893FBD7}" name="x1"/>
    <tableColumn id="3" xr3:uid="{A723CFF1-09D1-476B-86A0-CE151BD00631}" name="x2"/>
    <tableColumn id="4" xr3:uid="{85246345-1652-400C-8CDE-B6670BE0B4D3}" name="expected class"/>
    <tableColumn id="5" xr3:uid="{7C7AEDA2-1F6B-4472-BD99-52D108FFA8DB}" name="expected x1" totalsRowFunction="average">
      <calculatedColumnFormula>IF(D2="A",0,IF(D2="B",0,1))</calculatedColumnFormula>
    </tableColumn>
    <tableColumn id="6" xr3:uid="{CB4AC4C7-8086-4C7C-9F32-F06E11C062D4}" name="expected x2" totalsRowFunction="average">
      <calculatedColumnFormula>IF(D2="A",0,IF(D2="C",0,1))</calculatedColumnFormula>
    </tableColumn>
    <tableColumn id="7" xr3:uid="{4DC39EE3-E92D-4A5C-92B4-4809217D09C5}" name="e1" dataDxfId="20">
      <calculatedColumnFormula>Table1[[#This Row],[expected x1]]-Table1[[#This Row],[x1]]</calculatedColumnFormula>
    </tableColumn>
    <tableColumn id="8" xr3:uid="{ECF1B81E-BFE0-4A3D-8F10-10D5A6FB9DBD}" name="e2" dataDxfId="19">
      <calculatedColumnFormula>Table1[[#This Row],[expected x2]]-Table1[[#This Row],[x2]]</calculatedColumnFormula>
    </tableColumn>
    <tableColumn id="9" xr3:uid="{846149D6-778A-4DFD-9AF6-5F028B603745}" name="e1sq" dataDxfId="18">
      <calculatedColumnFormula>Table1[[#This Row],[e1]]^2</calculatedColumnFormula>
    </tableColumn>
    <tableColumn id="10" xr3:uid="{3DC3971D-9FE8-4649-8D37-F5D85BF3E5CC}" name="e2sq" dataDxfId="17">
      <calculatedColumnFormula>Table1[[#This Row],[e2]]^2</calculatedColumnFormula>
    </tableColumn>
    <tableColumn id="11" xr3:uid="{8421A1BC-913A-4259-BA2C-68D5046E1DE0}" name="sumerror" totalsRowFunction="sum" dataDxfId="16">
      <calculatedColumnFormula>Table1[[#This Row],[e2sq]]+Table1[[#This Row],[e1sq]]</calculatedColumnFormula>
    </tableColumn>
    <tableColumn id="12" xr3:uid="{335199FF-6834-42A1-9E2D-ADAB166F7D53}" name="sumabserror" totalsRowFunction="sum" dataDxfId="15">
      <calculatedColumnFormula>SUM(ABS(Table1[[#This Row],[e1]]),ABS(Table1[[#This Row],[e2]]))</calculatedColumnFormula>
    </tableColumn>
    <tableColumn id="13" xr3:uid="{91BAB171-520C-4E6E-AC10-6C31EE8FA295}" name="expected diff with mean x1" dataDxfId="14">
      <calculatedColumnFormula>ROUND(Table1[[#This Row],[expected x1]]-Table1[[#Totals],[expected x1]],4)</calculatedColumnFormula>
    </tableColumn>
    <tableColumn id="14" xr3:uid="{91C41C13-30D1-4C17-B160-6645D66DBE11}" name="expected diff with mean x2" dataDxfId="13">
      <calculatedColumnFormula>ROUND(Table1[[#This Row],[expected x2]]-Table1[[#Totals],[expected x2]],4)</calculatedColumnFormula>
    </tableColumn>
    <tableColumn id="15" xr3:uid="{80D1FD93-B7C0-433E-91CE-8919EBEA798B}" name="sqdiff x1" dataDxfId="12">
      <calculatedColumnFormula>ROUND(Table1[[#This Row],[expected diff with mean x1]]^2,4)</calculatedColumnFormula>
    </tableColumn>
    <tableColumn id="16" xr3:uid="{A2F45233-55C0-43EC-953E-107FAF270743}" name="sqdiff x2" dataDxfId="11">
      <calculatedColumnFormula>ROUND(Table1[[#This Row],[expected diff with mean x2]]^2,4)</calculatedColumnFormula>
    </tableColumn>
    <tableColumn id="17" xr3:uid="{563A1702-8FC6-489C-8371-EDEB3651B8BB}" name="sum sqdiff" totalsRowFunction="sum" dataDxfId="10">
      <calculatedColumnFormula>SUM(Table1[[#This Row],[sqdiff x1]:[sqdiff x2]])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583B0B-6ECF-4B30-A305-7F39F01BA66E}" name="Table2" displayName="Table2" ref="A1:H11" totalsRowShown="0">
  <autoFilter ref="A1:H11" xr:uid="{03EACDF6-A5E8-481B-97B7-A72A1244E81E}"/>
  <tableColumns count="8">
    <tableColumn id="1" xr3:uid="{1195B73F-2D31-417E-9212-E27AA9E733E8}" name="Generation"/>
    <tableColumn id="2" xr3:uid="{CD85A6B3-CE8A-4258-ABEA-33EC41B0F8A5}" name="c1"/>
    <tableColumn id="3" xr3:uid="{7620D35B-91E9-49D6-9BB3-A2A10BB19D60}" name="c2"/>
    <tableColumn id="4" xr3:uid="{EA2986CE-879C-4D60-B8DE-4A14EA1E18D3}" name="c3"/>
    <tableColumn id="5" xr3:uid="{A15663E9-54F5-41CA-9534-7F75AF236819}" name="c4"/>
    <tableColumn id="6" xr3:uid="{CB6A8B81-487E-4C01-9B9E-BB4C4236E781}" name="c5"/>
    <tableColumn id="7" xr3:uid="{1514E3DD-8251-4B66-8F03-9F41629076F2}" name="best fitness" dataDxfId="9">
      <calculatedColumnFormula>MAX(Table2[[#This Row],[c1]:[c5]])</calculatedColumnFormula>
    </tableColumn>
    <tableColumn id="8" xr3:uid="{2776C626-FCE1-445C-921F-9C1727CB3A51}" name="average fitness" dataDxfId="8">
      <calculatedColumnFormula>AVERAGE(Table2[[#This Row],[c1]:[c5]])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D26655-2D98-466E-91E9-14E03E747EE6}" name="Table4" displayName="Table4" ref="A1:D13" totalsRowShown="0">
  <autoFilter ref="A1:D13" xr:uid="{D1749359-052C-4C8F-8B18-B4AA3D7365F6}"/>
  <sortState ref="A2:D13">
    <sortCondition descending="1" ref="D1:D13"/>
  </sortState>
  <tableColumns count="4">
    <tableColumn id="1" xr3:uid="{F38402A1-0241-42EC-BFC8-09E9810ECDD4}" name="Run"/>
    <tableColumn id="7" xr3:uid="{6E365504-F6C4-4C60-BB94-6F9E2E4A4DED}" name="Algorithm"/>
    <tableColumn id="2" xr3:uid="{402380D8-F412-4E1D-8047-ECEAB5DFC30A}" name="Solution"/>
    <tableColumn id="4" xr3:uid="{62EA11A1-B826-4A6F-A2ED-9117962B5E03}" name="Fitness" dataDxfId="7">
      <calculatedColumnFormula>Table4[[#This Row],[Solution]]^2+2*Table4[[#This Row],[Solution]]+2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DAEF95-7C87-4A97-A58C-65BFDE11EAC9}" name="Table3" displayName="Table3" ref="A1:B13" totalsRowShown="0">
  <autoFilter ref="A1:B13" xr:uid="{4E3A8711-7197-4984-9E9E-5273395D0413}"/>
  <sortState ref="A2:B13">
    <sortCondition descending="1" ref="B1:B13"/>
  </sortState>
  <tableColumns count="2">
    <tableColumn id="1" xr3:uid="{124922C0-E9B8-4F8F-ADFA-43999AA2ADF2}" name="Configuration"/>
    <tableColumn id="2" xr3:uid="{0939A742-60C4-448F-B9D0-77E0760B01A2}" name="Accura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94AA98-C75A-4423-A1BC-2EBF09186938}" name="Table5" displayName="Table5" ref="A1:J7" totalsRowCount="1">
  <autoFilter ref="A1:J6" xr:uid="{C8E4A3E3-4CDF-4EBF-B21A-5374B41BCF40}"/>
  <tableColumns count="10">
    <tableColumn id="1" xr3:uid="{FD6F4914-0188-44C4-800A-7AA52840B000}" name="Classes" totalsRowLabel="Total"/>
    <tableColumn id="2" xr3:uid="{89F53068-5856-4B9A-838E-761408DA9F38}" name="Actual"/>
    <tableColumn id="3" xr3:uid="{BC1DF9B3-6526-40A1-A61E-AA57D8F069E7}" name="Predicted 1"/>
    <tableColumn id="4" xr3:uid="{3A022CF2-F325-4459-B15F-1D0EEB0CE7DA}" name="O-E" dataDxfId="6">
      <calculatedColumnFormula>Table5[[#This Row],[Predicted 1]]-Table5[[#This Row],[Actual]]</calculatedColumnFormula>
    </tableColumn>
    <tableColumn id="5" xr3:uid="{FF783277-D170-4C35-8A35-9AF1A457BA41}" name="sq(O-E)" dataDxfId="5">
      <calculatedColumnFormula>Table5[[#This Row],[O-E]]^2</calculatedColumnFormula>
    </tableColumn>
    <tableColumn id="6" xr3:uid="{AD184583-D922-49F6-BC06-22469EDC1335}" name="sq(O-E)/E" totalsRowFunction="sum" dataDxfId="4">
      <calculatedColumnFormula>Table5[[#This Row],[sq(O-E)]]/Table5[[#This Row],[Actual]]</calculatedColumnFormula>
    </tableColumn>
    <tableColumn id="7" xr3:uid="{C63F966A-3839-4260-82B1-C7FC51D7A6A5}" name="Predicted 2" dataDxfId="3"/>
    <tableColumn id="8" xr3:uid="{3D87A722-0604-4BFB-8C11-0BAA70E1FF79}" name="O2-E" dataDxfId="2">
      <calculatedColumnFormula>Table5[[#This Row],[Predicted 2]]-Table5[[#This Row],[Actual]]</calculatedColumnFormula>
    </tableColumn>
    <tableColumn id="9" xr3:uid="{F801DE52-6172-4E23-811F-ADD4BE4EE7FC}" name="sq(O2-E)" dataDxfId="1">
      <calculatedColumnFormula>Table5[[#This Row],[O2-E]]^2</calculatedColumnFormula>
    </tableColumn>
    <tableColumn id="10" xr3:uid="{FD3BBC3A-3521-469E-B0D9-BDE77FD5DA10}" name="sq(O2-E)/E" totalsRowFunction="sum" dataDxfId="0">
      <calculatedColumnFormula>Table5[[#This Row],[sq(O2-E)]]/Table5[[#This Row],[Actual]]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ECB3-8BB4-485F-A4A9-4163F1B7795A}">
  <dimension ref="A1:S24"/>
  <sheetViews>
    <sheetView workbookViewId="0">
      <selection activeCell="S2" sqref="S2"/>
    </sheetView>
  </sheetViews>
  <sheetFormatPr defaultRowHeight="15" x14ac:dyDescent="0.25"/>
  <cols>
    <col min="4" max="4" width="16" customWidth="1"/>
    <col min="5" max="6" width="13.85546875" customWidth="1"/>
  </cols>
  <sheetData>
    <row r="1" spans="1:19" x14ac:dyDescent="0.25">
      <c r="A1" t="s">
        <v>9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19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9" x14ac:dyDescent="0.25">
      <c r="A2">
        <v>1</v>
      </c>
      <c r="B2">
        <v>0.623</v>
      </c>
      <c r="C2">
        <v>2.8000000000000001E-2</v>
      </c>
      <c r="D2" t="s">
        <v>0</v>
      </c>
      <c r="E2">
        <f>IF(D2="A",0,IF(D2="B",0,1))</f>
        <v>1</v>
      </c>
      <c r="F2">
        <f>IF(D2="A",0,IF(D2="C",0,1))</f>
        <v>0</v>
      </c>
      <c r="G2">
        <f>Table1[[#This Row],[expected x1]]-Table1[[#This Row],[x1]]</f>
        <v>0.377</v>
      </c>
      <c r="H2">
        <f>Table1[[#This Row],[expected x2]]-Table1[[#This Row],[x2]]</f>
        <v>-2.8000000000000001E-2</v>
      </c>
      <c r="I2">
        <f>Table1[[#This Row],[e1]]^2</f>
        <v>0.14212900000000001</v>
      </c>
      <c r="J2">
        <f>Table1[[#This Row],[e2]]^2</f>
        <v>7.8400000000000008E-4</v>
      </c>
      <c r="K2" s="1">
        <f>Table1[[#This Row],[e2sq]]+Table1[[#This Row],[e1sq]]</f>
        <v>0.14291300000000001</v>
      </c>
      <c r="L2" s="1">
        <f>SUM(ABS(Table1[[#This Row],[e1]]),ABS(Table1[[#This Row],[e2]]))</f>
        <v>0.40500000000000003</v>
      </c>
      <c r="M2" s="1">
        <f>ROUND(Table1[[#This Row],[expected x1]]-Table1[[#Totals],[expected x1]],4)</f>
        <v>0.4667</v>
      </c>
      <c r="N2" s="1">
        <f>ROUND(Table1[[#This Row],[expected x2]]-Table1[[#Totals],[expected x2]],4)</f>
        <v>-0.5333</v>
      </c>
      <c r="O2" s="1">
        <f>ROUND(Table1[[#This Row],[expected diff with mean x1]]^2,4)</f>
        <v>0.21779999999999999</v>
      </c>
      <c r="P2" s="1">
        <f>ROUND(Table1[[#This Row],[expected diff with mean x2]]^2,4)</f>
        <v>0.28439999999999999</v>
      </c>
      <c r="Q2" s="1">
        <f>SUM(Table1[[#This Row],[sqdiff x1]:[sqdiff x2]])</f>
        <v>0.50219999999999998</v>
      </c>
      <c r="S2" t="str">
        <f>_xlfn.TEXTJOIN(" &amp; ",FALSE,A2:C2,E2:F2,M2:Q2) &amp; " \\"</f>
        <v>1 &amp; 0.623 &amp; 0.028 &amp; 1 &amp; 0 &amp; 0.4667 &amp; -0.5333 &amp; 0.2178 &amp; 0.2844 &amp; 0.5022 \\</v>
      </c>
    </row>
    <row r="3" spans="1:19" x14ac:dyDescent="0.25">
      <c r="A3">
        <v>2</v>
      </c>
      <c r="B3">
        <v>0.112</v>
      </c>
      <c r="C3">
        <v>0.22500000000000001</v>
      </c>
      <c r="D3" t="s">
        <v>1</v>
      </c>
      <c r="E3">
        <f t="shared" ref="E3:E16" si="0">IF(D3="A",0,IF(D3="B",0,1))</f>
        <v>0</v>
      </c>
      <c r="F3">
        <f t="shared" ref="F3:F16" si="1">IF(D3="A",0,IF(D3="C",0,1))</f>
        <v>0</v>
      </c>
      <c r="G3">
        <f>Table1[[#This Row],[expected x1]]-Table1[[#This Row],[x1]]</f>
        <v>-0.112</v>
      </c>
      <c r="H3">
        <f>Table1[[#This Row],[expected x2]]-Table1[[#This Row],[x2]]</f>
        <v>-0.22500000000000001</v>
      </c>
      <c r="I3">
        <f>Table1[[#This Row],[e1]]^2</f>
        <v>1.2544000000000001E-2</v>
      </c>
      <c r="J3">
        <f>Table1[[#This Row],[e2]]^2</f>
        <v>5.0625000000000003E-2</v>
      </c>
      <c r="K3" s="1">
        <f>Table1[[#This Row],[e2sq]]+Table1[[#This Row],[e1sq]]</f>
        <v>6.3169000000000003E-2</v>
      </c>
      <c r="L3" s="1">
        <f>SUM(ABS(Table1[[#This Row],[e1]]),ABS(Table1[[#This Row],[e2]]))</f>
        <v>0.33700000000000002</v>
      </c>
      <c r="M3" s="1">
        <f>ROUND(Table1[[#This Row],[expected x1]]-Table1[[#Totals],[expected x1]],4)</f>
        <v>-0.5333</v>
      </c>
      <c r="N3" s="1">
        <f>ROUND(Table1[[#This Row],[expected x2]]-Table1[[#Totals],[expected x2]],4)</f>
        <v>-0.5333</v>
      </c>
      <c r="O3" s="1">
        <f>ROUND(Table1[[#This Row],[expected diff with mean x1]]^2,4)</f>
        <v>0.28439999999999999</v>
      </c>
      <c r="P3" s="1">
        <f>ROUND(Table1[[#This Row],[expected diff with mean x2]]^2,4)</f>
        <v>0.28439999999999999</v>
      </c>
      <c r="Q3" s="1">
        <f>SUM(Table1[[#This Row],[sqdiff x1]:[sqdiff x2]])</f>
        <v>0.56879999999999997</v>
      </c>
      <c r="S3" t="str">
        <f t="shared" ref="S3:S16" si="2">_xlfn.TEXTJOIN(" &amp; ",FALSE,A3:C3,E3:F3,M3:Q3) &amp; " \\"</f>
        <v>2 &amp; 0.112 &amp; 0.225 &amp; 0 &amp; 0 &amp; -0.5333 &amp; -0.5333 &amp; 0.2844 &amp; 0.2844 &amp; 0.5688 \\</v>
      </c>
    </row>
    <row r="4" spans="1:19" x14ac:dyDescent="0.25">
      <c r="A4">
        <v>3</v>
      </c>
      <c r="B4">
        <v>0.80900000000000005</v>
      </c>
      <c r="C4">
        <v>0.22800000000000001</v>
      </c>
      <c r="D4" t="s">
        <v>2</v>
      </c>
      <c r="E4">
        <f t="shared" si="0"/>
        <v>0</v>
      </c>
      <c r="F4">
        <f t="shared" si="1"/>
        <v>1</v>
      </c>
      <c r="G4">
        <f>Table1[[#This Row],[expected x1]]-Table1[[#This Row],[x1]]</f>
        <v>-0.80900000000000005</v>
      </c>
      <c r="H4">
        <f>Table1[[#This Row],[expected x2]]-Table1[[#This Row],[x2]]</f>
        <v>0.77200000000000002</v>
      </c>
      <c r="I4">
        <f>Table1[[#This Row],[e1]]^2</f>
        <v>0.65448100000000009</v>
      </c>
      <c r="J4">
        <f>Table1[[#This Row],[e2]]^2</f>
        <v>0.59598400000000007</v>
      </c>
      <c r="K4" s="1">
        <f>Table1[[#This Row],[e2sq]]+Table1[[#This Row],[e1sq]]</f>
        <v>1.2504650000000002</v>
      </c>
      <c r="L4" s="1">
        <f>SUM(ABS(Table1[[#This Row],[e1]]),ABS(Table1[[#This Row],[e2]]))</f>
        <v>1.581</v>
      </c>
      <c r="M4" s="1">
        <f>ROUND(Table1[[#This Row],[expected x1]]-Table1[[#Totals],[expected x1]],4)</f>
        <v>-0.5333</v>
      </c>
      <c r="N4" s="1">
        <f>ROUND(Table1[[#This Row],[expected x2]]-Table1[[#Totals],[expected x2]],4)</f>
        <v>0.4667</v>
      </c>
      <c r="O4" s="1">
        <f>ROUND(Table1[[#This Row],[expected diff with mean x1]]^2,4)</f>
        <v>0.28439999999999999</v>
      </c>
      <c r="P4" s="1">
        <f>ROUND(Table1[[#This Row],[expected diff with mean x2]]^2,4)</f>
        <v>0.21779999999999999</v>
      </c>
      <c r="Q4" s="1">
        <f>SUM(Table1[[#This Row],[sqdiff x1]:[sqdiff x2]])</f>
        <v>0.50219999999999998</v>
      </c>
      <c r="S4" t="str">
        <f t="shared" si="2"/>
        <v>3 &amp; 0.809 &amp; 0.228 &amp; 0 &amp; 1 &amp; -0.5333 &amp; 0.4667 &amp; 0.2844 &amp; 0.2178 &amp; 0.5022 \\</v>
      </c>
    </row>
    <row r="5" spans="1:19" x14ac:dyDescent="0.25">
      <c r="A5">
        <v>4</v>
      </c>
      <c r="B5">
        <v>0.34899999999999998</v>
      </c>
      <c r="C5">
        <v>0.28399999999999997</v>
      </c>
      <c r="D5" t="s">
        <v>1</v>
      </c>
      <c r="E5">
        <f t="shared" si="0"/>
        <v>0</v>
      </c>
      <c r="F5">
        <f t="shared" si="1"/>
        <v>0</v>
      </c>
      <c r="G5">
        <f>Table1[[#This Row],[expected x1]]-Table1[[#This Row],[x1]]</f>
        <v>-0.34899999999999998</v>
      </c>
      <c r="H5">
        <f>Table1[[#This Row],[expected x2]]-Table1[[#This Row],[x2]]</f>
        <v>-0.28399999999999997</v>
      </c>
      <c r="I5">
        <f>Table1[[#This Row],[e1]]^2</f>
        <v>0.12180099999999998</v>
      </c>
      <c r="J5">
        <f>Table1[[#This Row],[e2]]^2</f>
        <v>8.0655999999999992E-2</v>
      </c>
      <c r="K5" s="1">
        <f>Table1[[#This Row],[e2sq]]+Table1[[#This Row],[e1sq]]</f>
        <v>0.20245699999999997</v>
      </c>
      <c r="L5" s="1">
        <f>SUM(ABS(Table1[[#This Row],[e1]]),ABS(Table1[[#This Row],[e2]]))</f>
        <v>0.63300000000000001</v>
      </c>
      <c r="M5" s="1">
        <f>ROUND(Table1[[#This Row],[expected x1]]-Table1[[#Totals],[expected x1]],4)</f>
        <v>-0.5333</v>
      </c>
      <c r="N5" s="1">
        <f>ROUND(Table1[[#This Row],[expected x2]]-Table1[[#Totals],[expected x2]],4)</f>
        <v>-0.5333</v>
      </c>
      <c r="O5" s="1">
        <f>ROUND(Table1[[#This Row],[expected diff with mean x1]]^2,4)</f>
        <v>0.28439999999999999</v>
      </c>
      <c r="P5" s="1">
        <f>ROUND(Table1[[#This Row],[expected diff with mean x2]]^2,4)</f>
        <v>0.28439999999999999</v>
      </c>
      <c r="Q5" s="1">
        <f>SUM(Table1[[#This Row],[sqdiff x1]:[sqdiff x2]])</f>
        <v>0.56879999999999997</v>
      </c>
      <c r="S5" t="str">
        <f t="shared" si="2"/>
        <v>4 &amp; 0.349 &amp; 0.284 &amp; 0 &amp; 0 &amp; -0.5333 &amp; -0.5333 &amp; 0.2844 &amp; 0.2844 &amp; 0.5688 \\</v>
      </c>
    </row>
    <row r="6" spans="1:19" x14ac:dyDescent="0.25">
      <c r="A6">
        <v>5</v>
      </c>
      <c r="B6">
        <v>0.66400000000000003</v>
      </c>
      <c r="C6">
        <v>0.35899999999999999</v>
      </c>
      <c r="D6" t="s">
        <v>2</v>
      </c>
      <c r="E6">
        <f t="shared" si="0"/>
        <v>0</v>
      </c>
      <c r="F6">
        <f t="shared" si="1"/>
        <v>1</v>
      </c>
      <c r="G6">
        <f>Table1[[#This Row],[expected x1]]-Table1[[#This Row],[x1]]</f>
        <v>-0.66400000000000003</v>
      </c>
      <c r="H6">
        <f>Table1[[#This Row],[expected x2]]-Table1[[#This Row],[x2]]</f>
        <v>0.64100000000000001</v>
      </c>
      <c r="I6">
        <f>Table1[[#This Row],[e1]]^2</f>
        <v>0.44089600000000007</v>
      </c>
      <c r="J6">
        <f>Table1[[#This Row],[e2]]^2</f>
        <v>0.410881</v>
      </c>
      <c r="K6" s="1">
        <f>Table1[[#This Row],[e2sq]]+Table1[[#This Row],[e1sq]]</f>
        <v>0.85177700000000001</v>
      </c>
      <c r="L6" s="1">
        <f>SUM(ABS(Table1[[#This Row],[e1]]),ABS(Table1[[#This Row],[e2]]))</f>
        <v>1.3050000000000002</v>
      </c>
      <c r="M6" s="1">
        <f>ROUND(Table1[[#This Row],[expected x1]]-Table1[[#Totals],[expected x1]],4)</f>
        <v>-0.5333</v>
      </c>
      <c r="N6" s="1">
        <f>ROUND(Table1[[#This Row],[expected x2]]-Table1[[#Totals],[expected x2]],4)</f>
        <v>0.4667</v>
      </c>
      <c r="O6" s="1">
        <f>ROUND(Table1[[#This Row],[expected diff with mean x1]]^2,4)</f>
        <v>0.28439999999999999</v>
      </c>
      <c r="P6" s="1">
        <f>ROUND(Table1[[#This Row],[expected diff with mean x2]]^2,4)</f>
        <v>0.21779999999999999</v>
      </c>
      <c r="Q6" s="1">
        <f>SUM(Table1[[#This Row],[sqdiff x1]:[sqdiff x2]])</f>
        <v>0.50219999999999998</v>
      </c>
      <c r="S6" t="str">
        <f t="shared" si="2"/>
        <v>5 &amp; 0.664 &amp; 0.359 &amp; 0 &amp; 1 &amp; -0.5333 &amp; 0.4667 &amp; 0.2844 &amp; 0.2178 &amp; 0.5022 \\</v>
      </c>
    </row>
    <row r="7" spans="1:19" x14ac:dyDescent="0.25">
      <c r="A7">
        <v>6</v>
      </c>
      <c r="B7">
        <v>0.81</v>
      </c>
      <c r="C7">
        <v>0.30399999999999999</v>
      </c>
      <c r="D7" t="s">
        <v>0</v>
      </c>
      <c r="E7">
        <f t="shared" si="0"/>
        <v>1</v>
      </c>
      <c r="F7">
        <f t="shared" si="1"/>
        <v>0</v>
      </c>
      <c r="G7">
        <f>Table1[[#This Row],[expected x1]]-Table1[[#This Row],[x1]]</f>
        <v>0.18999999999999995</v>
      </c>
      <c r="H7">
        <f>Table1[[#This Row],[expected x2]]-Table1[[#This Row],[x2]]</f>
        <v>-0.30399999999999999</v>
      </c>
      <c r="I7">
        <f>Table1[[#This Row],[e1]]^2</f>
        <v>3.6099999999999979E-2</v>
      </c>
      <c r="J7">
        <f>Table1[[#This Row],[e2]]^2</f>
        <v>9.2415999999999998E-2</v>
      </c>
      <c r="K7" s="1">
        <f>Table1[[#This Row],[e2sq]]+Table1[[#This Row],[e1sq]]</f>
        <v>0.12851599999999996</v>
      </c>
      <c r="L7" s="1">
        <f>SUM(ABS(Table1[[#This Row],[e1]]),ABS(Table1[[#This Row],[e2]]))</f>
        <v>0.49399999999999994</v>
      </c>
      <c r="M7" s="1">
        <f>ROUND(Table1[[#This Row],[expected x1]]-Table1[[#Totals],[expected x1]],4)</f>
        <v>0.4667</v>
      </c>
      <c r="N7" s="1">
        <f>ROUND(Table1[[#This Row],[expected x2]]-Table1[[#Totals],[expected x2]],4)</f>
        <v>-0.5333</v>
      </c>
      <c r="O7" s="1">
        <f>ROUND(Table1[[#This Row],[expected diff with mean x1]]^2,4)</f>
        <v>0.21779999999999999</v>
      </c>
      <c r="P7" s="1">
        <f>ROUND(Table1[[#This Row],[expected diff with mean x2]]^2,4)</f>
        <v>0.28439999999999999</v>
      </c>
      <c r="Q7" s="1">
        <f>SUM(Table1[[#This Row],[sqdiff x1]:[sqdiff x2]])</f>
        <v>0.50219999999999998</v>
      </c>
      <c r="S7" t="str">
        <f t="shared" si="2"/>
        <v>6 &amp; 0.81 &amp; 0.304 &amp; 1 &amp; 0 &amp; 0.4667 &amp; -0.5333 &amp; 0.2178 &amp; 0.2844 &amp; 0.5022 \\</v>
      </c>
    </row>
    <row r="8" spans="1:19" x14ac:dyDescent="0.25">
      <c r="A8">
        <v>7</v>
      </c>
      <c r="B8">
        <v>0.67300000000000004</v>
      </c>
      <c r="C8">
        <v>0.81799999999999995</v>
      </c>
      <c r="D8" t="s">
        <v>3</v>
      </c>
      <c r="E8">
        <f t="shared" si="0"/>
        <v>1</v>
      </c>
      <c r="F8">
        <f t="shared" si="1"/>
        <v>1</v>
      </c>
      <c r="G8">
        <f>Table1[[#This Row],[expected x1]]-Table1[[#This Row],[x1]]</f>
        <v>0.32699999999999996</v>
      </c>
      <c r="H8">
        <f>Table1[[#This Row],[expected x2]]-Table1[[#This Row],[x2]]</f>
        <v>0.18200000000000005</v>
      </c>
      <c r="I8">
        <f>Table1[[#This Row],[e1]]^2</f>
        <v>0.10692899999999997</v>
      </c>
      <c r="J8">
        <f>Table1[[#This Row],[e2]]^2</f>
        <v>3.3124000000000021E-2</v>
      </c>
      <c r="K8" s="1">
        <f>Table1[[#This Row],[e2sq]]+Table1[[#This Row],[e1sq]]</f>
        <v>0.14005299999999998</v>
      </c>
      <c r="L8" s="1">
        <f>SUM(ABS(Table1[[#This Row],[e1]]),ABS(Table1[[#This Row],[e2]]))</f>
        <v>0.50900000000000001</v>
      </c>
      <c r="M8" s="1">
        <f>ROUND(Table1[[#This Row],[expected x1]]-Table1[[#Totals],[expected x1]],4)</f>
        <v>0.4667</v>
      </c>
      <c r="N8" s="1">
        <f>ROUND(Table1[[#This Row],[expected x2]]-Table1[[#Totals],[expected x2]],4)</f>
        <v>0.4667</v>
      </c>
      <c r="O8" s="1">
        <f>ROUND(Table1[[#This Row],[expected diff with mean x1]]^2,4)</f>
        <v>0.21779999999999999</v>
      </c>
      <c r="P8" s="1">
        <f>ROUND(Table1[[#This Row],[expected diff with mean x2]]^2,4)</f>
        <v>0.21779999999999999</v>
      </c>
      <c r="Q8" s="1">
        <f>SUM(Table1[[#This Row],[sqdiff x1]:[sqdiff x2]])</f>
        <v>0.43559999999999999</v>
      </c>
      <c r="S8" t="str">
        <f t="shared" si="2"/>
        <v>7 &amp; 0.673 &amp; 0.818 &amp; 1 &amp; 1 &amp; 0.4667 &amp; 0.4667 &amp; 0.2178 &amp; 0.2178 &amp; 0.4356 \\</v>
      </c>
    </row>
    <row r="9" spans="1:19" x14ac:dyDescent="0.25">
      <c r="A9">
        <v>8</v>
      </c>
      <c r="B9">
        <v>0.46500000000000002</v>
      </c>
      <c r="C9">
        <v>0.439</v>
      </c>
      <c r="D9" t="s">
        <v>1</v>
      </c>
      <c r="E9">
        <f t="shared" si="0"/>
        <v>0</v>
      </c>
      <c r="F9">
        <f t="shared" si="1"/>
        <v>0</v>
      </c>
      <c r="G9">
        <f>Table1[[#This Row],[expected x1]]-Table1[[#This Row],[x1]]</f>
        <v>-0.46500000000000002</v>
      </c>
      <c r="H9">
        <f>Table1[[#This Row],[expected x2]]-Table1[[#This Row],[x2]]</f>
        <v>-0.439</v>
      </c>
      <c r="I9">
        <f>Table1[[#This Row],[e1]]^2</f>
        <v>0.21622500000000003</v>
      </c>
      <c r="J9">
        <f>Table1[[#This Row],[e2]]^2</f>
        <v>0.192721</v>
      </c>
      <c r="K9" s="1">
        <f>Table1[[#This Row],[e2sq]]+Table1[[#This Row],[e1sq]]</f>
        <v>0.40894600000000003</v>
      </c>
      <c r="L9" s="1">
        <f>SUM(ABS(Table1[[#This Row],[e1]]),ABS(Table1[[#This Row],[e2]]))</f>
        <v>0.90400000000000003</v>
      </c>
      <c r="M9" s="1">
        <f>ROUND(Table1[[#This Row],[expected x1]]-Table1[[#Totals],[expected x1]],4)</f>
        <v>-0.5333</v>
      </c>
      <c r="N9" s="1">
        <f>ROUND(Table1[[#This Row],[expected x2]]-Table1[[#Totals],[expected x2]],4)</f>
        <v>-0.5333</v>
      </c>
      <c r="O9" s="1">
        <f>ROUND(Table1[[#This Row],[expected diff with mean x1]]^2,4)</f>
        <v>0.28439999999999999</v>
      </c>
      <c r="P9" s="1">
        <f>ROUND(Table1[[#This Row],[expected diff with mean x2]]^2,4)</f>
        <v>0.28439999999999999</v>
      </c>
      <c r="Q9" s="1">
        <f>SUM(Table1[[#This Row],[sqdiff x1]:[sqdiff x2]])</f>
        <v>0.56879999999999997</v>
      </c>
      <c r="S9" t="str">
        <f t="shared" si="2"/>
        <v>8 &amp; 0.465 &amp; 0.439 &amp; 0 &amp; 0 &amp; -0.5333 &amp; -0.5333 &amp; 0.2844 &amp; 0.2844 &amp; 0.5688 \\</v>
      </c>
    </row>
    <row r="10" spans="1:19" x14ac:dyDescent="0.25">
      <c r="A10">
        <v>9</v>
      </c>
      <c r="B10">
        <v>0.27500000000000002</v>
      </c>
      <c r="C10">
        <v>0.97199999999999998</v>
      </c>
      <c r="D10" t="s">
        <v>2</v>
      </c>
      <c r="E10">
        <f t="shared" si="0"/>
        <v>0</v>
      </c>
      <c r="F10">
        <f t="shared" si="1"/>
        <v>1</v>
      </c>
      <c r="G10">
        <f>Table1[[#This Row],[expected x1]]-Table1[[#This Row],[x1]]</f>
        <v>-0.27500000000000002</v>
      </c>
      <c r="H10">
        <f>Table1[[#This Row],[expected x2]]-Table1[[#This Row],[x2]]</f>
        <v>2.8000000000000025E-2</v>
      </c>
      <c r="I10">
        <f>Table1[[#This Row],[e1]]^2</f>
        <v>7.5625000000000012E-2</v>
      </c>
      <c r="J10">
        <f>Table1[[#This Row],[e2]]^2</f>
        <v>7.8400000000000138E-4</v>
      </c>
      <c r="K10" s="1">
        <f>Table1[[#This Row],[e2sq]]+Table1[[#This Row],[e1sq]]</f>
        <v>7.6409000000000019E-2</v>
      </c>
      <c r="L10" s="1">
        <f>SUM(ABS(Table1[[#This Row],[e1]]),ABS(Table1[[#This Row],[e2]]))</f>
        <v>0.30300000000000005</v>
      </c>
      <c r="M10" s="1">
        <f>ROUND(Table1[[#This Row],[expected x1]]-Table1[[#Totals],[expected x1]],4)</f>
        <v>-0.5333</v>
      </c>
      <c r="N10" s="1">
        <f>ROUND(Table1[[#This Row],[expected x2]]-Table1[[#Totals],[expected x2]],4)</f>
        <v>0.4667</v>
      </c>
      <c r="O10" s="1">
        <f>ROUND(Table1[[#This Row],[expected diff with mean x1]]^2,4)</f>
        <v>0.28439999999999999</v>
      </c>
      <c r="P10" s="1">
        <f>ROUND(Table1[[#This Row],[expected diff with mean x2]]^2,4)</f>
        <v>0.21779999999999999</v>
      </c>
      <c r="Q10" s="1">
        <f>SUM(Table1[[#This Row],[sqdiff x1]:[sqdiff x2]])</f>
        <v>0.50219999999999998</v>
      </c>
      <c r="S10" t="str">
        <f t="shared" si="2"/>
        <v>9 &amp; 0.275 &amp; 0.972 &amp; 0 &amp; 1 &amp; -0.5333 &amp; 0.4667 &amp; 0.2844 &amp; 0.2178 &amp; 0.5022 \\</v>
      </c>
    </row>
    <row r="11" spans="1:19" x14ac:dyDescent="0.25">
      <c r="A11">
        <v>10</v>
      </c>
      <c r="B11">
        <v>0.78800000000000003</v>
      </c>
      <c r="C11">
        <v>0.82899999999999996</v>
      </c>
      <c r="D11" t="s">
        <v>3</v>
      </c>
      <c r="E11">
        <f t="shared" si="0"/>
        <v>1</v>
      </c>
      <c r="F11">
        <f t="shared" si="1"/>
        <v>1</v>
      </c>
      <c r="G11">
        <f>Table1[[#This Row],[expected x1]]-Table1[[#This Row],[x1]]</f>
        <v>0.21199999999999997</v>
      </c>
      <c r="H11">
        <f>Table1[[#This Row],[expected x2]]-Table1[[#This Row],[x2]]</f>
        <v>0.17100000000000004</v>
      </c>
      <c r="I11">
        <f>Table1[[#This Row],[e1]]^2</f>
        <v>4.4943999999999984E-2</v>
      </c>
      <c r="J11">
        <f>Table1[[#This Row],[e2]]^2</f>
        <v>2.9241000000000014E-2</v>
      </c>
      <c r="K11" s="1">
        <f>Table1[[#This Row],[e2sq]]+Table1[[#This Row],[e1sq]]</f>
        <v>7.4185000000000001E-2</v>
      </c>
      <c r="L11" s="1">
        <f>SUM(ABS(Table1[[#This Row],[e1]]),ABS(Table1[[#This Row],[e2]]))</f>
        <v>0.38300000000000001</v>
      </c>
      <c r="M11" s="1">
        <f>ROUND(Table1[[#This Row],[expected x1]]-Table1[[#Totals],[expected x1]],4)</f>
        <v>0.4667</v>
      </c>
      <c r="N11" s="1">
        <f>ROUND(Table1[[#This Row],[expected x2]]-Table1[[#Totals],[expected x2]],4)</f>
        <v>0.4667</v>
      </c>
      <c r="O11" s="1">
        <f>ROUND(Table1[[#This Row],[expected diff with mean x1]]^2,4)</f>
        <v>0.21779999999999999</v>
      </c>
      <c r="P11" s="1">
        <f>ROUND(Table1[[#This Row],[expected diff with mean x2]]^2,4)</f>
        <v>0.21779999999999999</v>
      </c>
      <c r="Q11" s="1">
        <f>SUM(Table1[[#This Row],[sqdiff x1]:[sqdiff x2]])</f>
        <v>0.43559999999999999</v>
      </c>
      <c r="S11" t="str">
        <f t="shared" si="2"/>
        <v>10 &amp; 0.788 &amp; 0.829 &amp; 1 &amp; 1 &amp; 0.4667 &amp; 0.4667 &amp; 0.2178 &amp; 0.2178 &amp; 0.4356 \\</v>
      </c>
    </row>
    <row r="12" spans="1:19" x14ac:dyDescent="0.25">
      <c r="A12">
        <v>11</v>
      </c>
      <c r="B12">
        <v>0.624</v>
      </c>
      <c r="C12">
        <v>0.65800000000000003</v>
      </c>
      <c r="D12" t="s">
        <v>3</v>
      </c>
      <c r="E12">
        <f t="shared" si="0"/>
        <v>1</v>
      </c>
      <c r="F12">
        <f t="shared" si="1"/>
        <v>1</v>
      </c>
      <c r="G12">
        <f>Table1[[#This Row],[expected x1]]-Table1[[#This Row],[x1]]</f>
        <v>0.376</v>
      </c>
      <c r="H12">
        <f>Table1[[#This Row],[expected x2]]-Table1[[#This Row],[x2]]</f>
        <v>0.34199999999999997</v>
      </c>
      <c r="I12">
        <f>Table1[[#This Row],[e1]]^2</f>
        <v>0.141376</v>
      </c>
      <c r="J12">
        <f>Table1[[#This Row],[e2]]^2</f>
        <v>0.11696399999999998</v>
      </c>
      <c r="K12" s="1">
        <f>Table1[[#This Row],[e2sq]]+Table1[[#This Row],[e1sq]]</f>
        <v>0.25834000000000001</v>
      </c>
      <c r="L12" s="1">
        <f>SUM(ABS(Table1[[#This Row],[e1]]),ABS(Table1[[#This Row],[e2]]))</f>
        <v>0.71799999999999997</v>
      </c>
      <c r="M12" s="1">
        <f>ROUND(Table1[[#This Row],[expected x1]]-Table1[[#Totals],[expected x1]],4)</f>
        <v>0.4667</v>
      </c>
      <c r="N12" s="1">
        <f>ROUND(Table1[[#This Row],[expected x2]]-Table1[[#Totals],[expected x2]],4)</f>
        <v>0.4667</v>
      </c>
      <c r="O12" s="1">
        <f>ROUND(Table1[[#This Row],[expected diff with mean x1]]^2,4)</f>
        <v>0.21779999999999999</v>
      </c>
      <c r="P12" s="1">
        <f>ROUND(Table1[[#This Row],[expected diff with mean x2]]^2,4)</f>
        <v>0.21779999999999999</v>
      </c>
      <c r="Q12" s="1">
        <f>SUM(Table1[[#This Row],[sqdiff x1]:[sqdiff x2]])</f>
        <v>0.43559999999999999</v>
      </c>
      <c r="S12" t="str">
        <f t="shared" si="2"/>
        <v>11 &amp; 0.624 &amp; 0.658 &amp; 1 &amp; 1 &amp; 0.4667 &amp; 0.4667 &amp; 0.2178 &amp; 0.2178 &amp; 0.4356 \\</v>
      </c>
    </row>
    <row r="13" spans="1:19" x14ac:dyDescent="0.25">
      <c r="A13">
        <v>12</v>
      </c>
      <c r="B13">
        <v>0.89</v>
      </c>
      <c r="C13">
        <v>0.35899999999999999</v>
      </c>
      <c r="D13" t="s">
        <v>0</v>
      </c>
      <c r="E13">
        <f t="shared" si="0"/>
        <v>1</v>
      </c>
      <c r="F13">
        <f t="shared" si="1"/>
        <v>0</v>
      </c>
      <c r="G13">
        <f>Table1[[#This Row],[expected x1]]-Table1[[#This Row],[x1]]</f>
        <v>0.10999999999999999</v>
      </c>
      <c r="H13">
        <f>Table1[[#This Row],[expected x2]]-Table1[[#This Row],[x2]]</f>
        <v>-0.35899999999999999</v>
      </c>
      <c r="I13">
        <f>Table1[[#This Row],[e1]]^2</f>
        <v>1.2099999999999998E-2</v>
      </c>
      <c r="J13">
        <f>Table1[[#This Row],[e2]]^2</f>
        <v>0.128881</v>
      </c>
      <c r="K13" s="1">
        <f>Table1[[#This Row],[e2sq]]+Table1[[#This Row],[e1sq]]</f>
        <v>0.140981</v>
      </c>
      <c r="L13" s="1">
        <f>SUM(ABS(Table1[[#This Row],[e1]]),ABS(Table1[[#This Row],[e2]]))</f>
        <v>0.46899999999999997</v>
      </c>
      <c r="M13" s="1">
        <f>ROUND(Table1[[#This Row],[expected x1]]-Table1[[#Totals],[expected x1]],4)</f>
        <v>0.4667</v>
      </c>
      <c r="N13" s="1">
        <f>ROUND(Table1[[#This Row],[expected x2]]-Table1[[#Totals],[expected x2]],4)</f>
        <v>-0.5333</v>
      </c>
      <c r="O13" s="1">
        <f>ROUND(Table1[[#This Row],[expected diff with mean x1]]^2,4)</f>
        <v>0.21779999999999999</v>
      </c>
      <c r="P13" s="1">
        <f>ROUND(Table1[[#This Row],[expected diff with mean x2]]^2,4)</f>
        <v>0.28439999999999999</v>
      </c>
      <c r="Q13" s="1">
        <f>SUM(Table1[[#This Row],[sqdiff x1]:[sqdiff x2]])</f>
        <v>0.50219999999999998</v>
      </c>
      <c r="S13" t="str">
        <f t="shared" si="2"/>
        <v>12 &amp; 0.89 &amp; 0.359 &amp; 1 &amp; 0 &amp; 0.4667 &amp; -0.5333 &amp; 0.2178 &amp; 0.2844 &amp; 0.5022 \\</v>
      </c>
    </row>
    <row r="14" spans="1:19" x14ac:dyDescent="0.25">
      <c r="A14">
        <v>13</v>
      </c>
      <c r="B14">
        <v>0.69899999999999995</v>
      </c>
      <c r="C14">
        <v>0.47799999999999998</v>
      </c>
      <c r="D14" t="s">
        <v>2</v>
      </c>
      <c r="E14">
        <f t="shared" si="0"/>
        <v>0</v>
      </c>
      <c r="F14">
        <f t="shared" si="1"/>
        <v>1</v>
      </c>
      <c r="G14">
        <f>Table1[[#This Row],[expected x1]]-Table1[[#This Row],[x1]]</f>
        <v>-0.69899999999999995</v>
      </c>
      <c r="H14">
        <f>Table1[[#This Row],[expected x2]]-Table1[[#This Row],[x2]]</f>
        <v>0.52200000000000002</v>
      </c>
      <c r="I14">
        <f>Table1[[#This Row],[e1]]^2</f>
        <v>0.48860099999999995</v>
      </c>
      <c r="J14">
        <f>Table1[[#This Row],[e2]]^2</f>
        <v>0.272484</v>
      </c>
      <c r="K14" s="1">
        <f>Table1[[#This Row],[e2sq]]+Table1[[#This Row],[e1sq]]</f>
        <v>0.76108500000000001</v>
      </c>
      <c r="L14" s="1">
        <f>SUM(ABS(Table1[[#This Row],[e1]]),ABS(Table1[[#This Row],[e2]]))</f>
        <v>1.2210000000000001</v>
      </c>
      <c r="M14" s="1">
        <f>ROUND(Table1[[#This Row],[expected x1]]-Table1[[#Totals],[expected x1]],4)</f>
        <v>-0.5333</v>
      </c>
      <c r="N14" s="1">
        <f>ROUND(Table1[[#This Row],[expected x2]]-Table1[[#Totals],[expected x2]],4)</f>
        <v>0.4667</v>
      </c>
      <c r="O14" s="1">
        <f>ROUND(Table1[[#This Row],[expected diff with mean x1]]^2,4)</f>
        <v>0.28439999999999999</v>
      </c>
      <c r="P14" s="1">
        <f>ROUND(Table1[[#This Row],[expected diff with mean x2]]^2,4)</f>
        <v>0.21779999999999999</v>
      </c>
      <c r="Q14" s="1">
        <f>SUM(Table1[[#This Row],[sqdiff x1]:[sqdiff x2]])</f>
        <v>0.50219999999999998</v>
      </c>
      <c r="S14" t="str">
        <f t="shared" si="2"/>
        <v>13 &amp; 0.699 &amp; 0.478 &amp; 0 &amp; 1 &amp; -0.5333 &amp; 0.4667 &amp; 0.2844 &amp; 0.2178 &amp; 0.5022 \\</v>
      </c>
    </row>
    <row r="15" spans="1:19" x14ac:dyDescent="0.25">
      <c r="A15">
        <v>14</v>
      </c>
      <c r="B15">
        <v>0.67400000000000004</v>
      </c>
      <c r="C15">
        <v>0.98399999999999999</v>
      </c>
      <c r="D15" t="s">
        <v>3</v>
      </c>
      <c r="E15">
        <f t="shared" si="0"/>
        <v>1</v>
      </c>
      <c r="F15">
        <f t="shared" si="1"/>
        <v>1</v>
      </c>
      <c r="G15">
        <f>Table1[[#This Row],[expected x1]]-Table1[[#This Row],[x1]]</f>
        <v>0.32599999999999996</v>
      </c>
      <c r="H15">
        <f>Table1[[#This Row],[expected x2]]-Table1[[#This Row],[x2]]</f>
        <v>1.6000000000000014E-2</v>
      </c>
      <c r="I15">
        <f>Table1[[#This Row],[e1]]^2</f>
        <v>0.10627599999999997</v>
      </c>
      <c r="J15">
        <f>Table1[[#This Row],[e2]]^2</f>
        <v>2.5600000000000048E-4</v>
      </c>
      <c r="K15" s="1">
        <f>Table1[[#This Row],[e2sq]]+Table1[[#This Row],[e1sq]]</f>
        <v>0.10653199999999997</v>
      </c>
      <c r="L15" s="1">
        <f>SUM(ABS(Table1[[#This Row],[e1]]),ABS(Table1[[#This Row],[e2]]))</f>
        <v>0.34199999999999997</v>
      </c>
      <c r="M15" s="1">
        <f>ROUND(Table1[[#This Row],[expected x1]]-Table1[[#Totals],[expected x1]],4)</f>
        <v>0.4667</v>
      </c>
      <c r="N15" s="1">
        <f>ROUND(Table1[[#This Row],[expected x2]]-Table1[[#Totals],[expected x2]],4)</f>
        <v>0.4667</v>
      </c>
      <c r="O15" s="1">
        <f>ROUND(Table1[[#This Row],[expected diff with mean x1]]^2,4)</f>
        <v>0.21779999999999999</v>
      </c>
      <c r="P15" s="1">
        <f>ROUND(Table1[[#This Row],[expected diff with mean x2]]^2,4)</f>
        <v>0.21779999999999999</v>
      </c>
      <c r="Q15" s="1">
        <f>SUM(Table1[[#This Row],[sqdiff x1]:[sqdiff x2]])</f>
        <v>0.43559999999999999</v>
      </c>
      <c r="S15" t="str">
        <f t="shared" si="2"/>
        <v>14 &amp; 0.674 &amp; 0.984 &amp; 1 &amp; 1 &amp; 0.4667 &amp; 0.4667 &amp; 0.2178 &amp; 0.2178 &amp; 0.4356 \\</v>
      </c>
    </row>
    <row r="16" spans="1:19" x14ac:dyDescent="0.25">
      <c r="A16">
        <v>15</v>
      </c>
      <c r="B16">
        <v>0.78800000000000003</v>
      </c>
      <c r="C16">
        <v>0.36599999999999999</v>
      </c>
      <c r="D16" t="s">
        <v>0</v>
      </c>
      <c r="E16">
        <f t="shared" si="0"/>
        <v>1</v>
      </c>
      <c r="F16">
        <f t="shared" si="1"/>
        <v>0</v>
      </c>
      <c r="G16">
        <f>Table1[[#This Row],[expected x1]]-Table1[[#This Row],[x1]]</f>
        <v>0.21199999999999997</v>
      </c>
      <c r="H16">
        <f>Table1[[#This Row],[expected x2]]-Table1[[#This Row],[x2]]</f>
        <v>-0.36599999999999999</v>
      </c>
      <c r="I16">
        <f>Table1[[#This Row],[e1]]^2</f>
        <v>4.4943999999999984E-2</v>
      </c>
      <c r="J16">
        <f>Table1[[#This Row],[e2]]^2</f>
        <v>0.13395599999999999</v>
      </c>
      <c r="K16" s="1">
        <f>Table1[[#This Row],[e2sq]]+Table1[[#This Row],[e1sq]]</f>
        <v>0.17889999999999998</v>
      </c>
      <c r="L16" s="1">
        <f>SUM(ABS(Table1[[#This Row],[e1]]),ABS(Table1[[#This Row],[e2]]))</f>
        <v>0.57799999999999996</v>
      </c>
      <c r="M16" s="1">
        <f>ROUND(Table1[[#This Row],[expected x1]]-Table1[[#Totals],[expected x1]],4)</f>
        <v>0.4667</v>
      </c>
      <c r="N16" s="1">
        <f>ROUND(Table1[[#This Row],[expected x2]]-Table1[[#Totals],[expected x2]],4)</f>
        <v>-0.5333</v>
      </c>
      <c r="O16" s="1">
        <f>ROUND(Table1[[#This Row],[expected diff with mean x1]]^2,4)</f>
        <v>0.21779999999999999</v>
      </c>
      <c r="P16" s="1">
        <f>ROUND(Table1[[#This Row],[expected diff with mean x2]]^2,4)</f>
        <v>0.28439999999999999</v>
      </c>
      <c r="Q16" s="1">
        <f>SUM(Table1[[#This Row],[sqdiff x1]:[sqdiff x2]])</f>
        <v>0.50219999999999998</v>
      </c>
      <c r="S16" t="str">
        <f t="shared" si="2"/>
        <v>15 &amp; 0.788 &amp; 0.366 &amp; 1 &amp; 0 &amp; 0.4667 &amp; -0.5333 &amp; 0.2178 &amp; 0.2844 &amp; 0.5022 \\</v>
      </c>
    </row>
    <row r="17" spans="1:17" x14ac:dyDescent="0.25">
      <c r="A17" t="s">
        <v>15</v>
      </c>
      <c r="E17">
        <f>SUBTOTAL(101,Table1[expected x1])</f>
        <v>0.53333333333333333</v>
      </c>
      <c r="F17">
        <f>SUBTOTAL(101,Table1[expected x2])</f>
        <v>0.53333333333333333</v>
      </c>
      <c r="K17">
        <f>SUBTOTAL(109,Table1[sumerror])</f>
        <v>4.7847279999999994</v>
      </c>
      <c r="L17">
        <f>SUBTOTAL(109,Table1[sumabserror])</f>
        <v>10.182</v>
      </c>
      <c r="Q17">
        <f>SUBTOTAL(109,Table1[sum sqdiff])</f>
        <v>7.466400000000001</v>
      </c>
    </row>
    <row r="18" spans="1:17" x14ac:dyDescent="0.25">
      <c r="E18" t="s">
        <v>22</v>
      </c>
      <c r="F18" t="s">
        <v>22</v>
      </c>
      <c r="K18" t="s">
        <v>15</v>
      </c>
      <c r="L18" t="s">
        <v>15</v>
      </c>
      <c r="Q18" t="s">
        <v>15</v>
      </c>
    </row>
    <row r="19" spans="1:17" x14ac:dyDescent="0.25">
      <c r="J19" t="s">
        <v>16</v>
      </c>
      <c r="K19">
        <f>0.5*Table1[[#Totals],[sumerror]]</f>
        <v>2.3923639999999997</v>
      </c>
      <c r="P19" t="s">
        <v>28</v>
      </c>
      <c r="Q19">
        <f>0.5*Table1[[#Totals],[sum sqdiff]]</f>
        <v>3.7332000000000005</v>
      </c>
    </row>
    <row r="20" spans="1:17" x14ac:dyDescent="0.25">
      <c r="J20" t="s">
        <v>17</v>
      </c>
      <c r="K20">
        <f>K19/COUNT(Table1[sumerror])</f>
        <v>0.15949093333333331</v>
      </c>
      <c r="P20" t="s">
        <v>29</v>
      </c>
      <c r="Q20">
        <f>K19/Q19</f>
        <v>0.64083467266688077</v>
      </c>
    </row>
    <row r="21" spans="1:17" x14ac:dyDescent="0.25">
      <c r="J21" t="s">
        <v>18</v>
      </c>
      <c r="K21">
        <f>K20/2</f>
        <v>7.9745466666666653E-2</v>
      </c>
    </row>
    <row r="23" spans="1:17" x14ac:dyDescent="0.25">
      <c r="K23" t="s">
        <v>20</v>
      </c>
      <c r="L23">
        <f>Table1[[#Totals],[sumabserror]]/COUNT(Table1[sumabserror])/2</f>
        <v>0.33940000000000003</v>
      </c>
    </row>
    <row r="24" spans="1:17" x14ac:dyDescent="0.25">
      <c r="K24" t="s">
        <v>21</v>
      </c>
      <c r="L24">
        <f>MAX(Table1[sumabserror])</f>
        <v>1.581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E0AF-D992-482A-A4A7-CFA777B301BD}">
  <dimension ref="A1:J15"/>
  <sheetViews>
    <sheetView workbookViewId="0">
      <selection activeCell="J2" sqref="J2:J11"/>
    </sheetView>
  </sheetViews>
  <sheetFormatPr defaultRowHeight="15" x14ac:dyDescent="0.25"/>
  <cols>
    <col min="1" max="1" width="13.28515625" customWidth="1"/>
  </cols>
  <sheetData>
    <row r="1" spans="1:10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39</v>
      </c>
    </row>
    <row r="2" spans="1:10" x14ac:dyDescent="0.25">
      <c r="A2">
        <v>1</v>
      </c>
      <c r="B2">
        <v>3.1E-2</v>
      </c>
      <c r="C2">
        <v>0.06</v>
      </c>
      <c r="D2">
        <v>7.0999999999999994E-2</v>
      </c>
      <c r="E2">
        <v>0.16200000000000001</v>
      </c>
      <c r="F2">
        <v>0.17</v>
      </c>
      <c r="G2">
        <f>MAX(Table2[[#This Row],[c1]:[c5]])</f>
        <v>0.17</v>
      </c>
      <c r="H2">
        <f>AVERAGE(Table2[[#This Row],[c1]:[c5]])</f>
        <v>9.8799999999999999E-2</v>
      </c>
      <c r="J2" t="str">
        <f>_xlfn.TEXTJOIN(" &amp; ",FALSE,A2:F2,H2) &amp; " \\"</f>
        <v>1 &amp; 0.031 &amp; 0.06 &amp; 0.071 &amp; 0.162 &amp; 0.17 &amp; 0.0988 \\</v>
      </c>
    </row>
    <row r="3" spans="1:10" x14ac:dyDescent="0.25">
      <c r="A3">
        <v>2</v>
      </c>
      <c r="B3">
        <v>4.2000000000000003E-2</v>
      </c>
      <c r="C3">
        <v>0.16200000000000001</v>
      </c>
      <c r="D3">
        <v>0.22</v>
      </c>
      <c r="E3">
        <v>0.26900000000000002</v>
      </c>
      <c r="F3">
        <v>0.17100000000000001</v>
      </c>
      <c r="G3">
        <f>MAX(Table2[[#This Row],[c1]:[c5]])</f>
        <v>0.26900000000000002</v>
      </c>
      <c r="H3">
        <f>AVERAGE(Table2[[#This Row],[c1]:[c5]])</f>
        <v>0.17280000000000001</v>
      </c>
      <c r="J3" t="str">
        <f t="shared" ref="J3:J11" si="0">_xlfn.TEXTJOIN(" &amp; ",FALSE,A3:F3,H3) &amp; " \\"</f>
        <v>2 &amp; 0.042 &amp; 0.162 &amp; 0.22 &amp; 0.269 &amp; 0.171 &amp; 0.1728 \\</v>
      </c>
    </row>
    <row r="4" spans="1:10" x14ac:dyDescent="0.25">
      <c r="A4">
        <v>3</v>
      </c>
      <c r="B4">
        <v>5.1999999999999998E-2</v>
      </c>
      <c r="C4">
        <v>0.17499999999999999</v>
      </c>
      <c r="D4">
        <v>0.28100000000000003</v>
      </c>
      <c r="E4">
        <v>0.29199999999999998</v>
      </c>
      <c r="F4">
        <v>0.23899999999999999</v>
      </c>
      <c r="G4">
        <f>MAX(Table2[[#This Row],[c1]:[c5]])</f>
        <v>0.29199999999999998</v>
      </c>
      <c r="H4">
        <f>AVERAGE(Table2[[#This Row],[c1]:[c5]])</f>
        <v>0.20780000000000004</v>
      </c>
      <c r="J4" t="str">
        <f t="shared" si="0"/>
        <v>3 &amp; 0.052 &amp; 0.175 &amp; 0.281 &amp; 0.292 &amp; 0.239 &amp; 0.2078 \\</v>
      </c>
    </row>
    <row r="5" spans="1:10" x14ac:dyDescent="0.25">
      <c r="A5">
        <v>4</v>
      </c>
      <c r="B5">
        <v>5.8999999999999997E-2</v>
      </c>
      <c r="C5">
        <v>0.20300000000000001</v>
      </c>
      <c r="D5">
        <v>0.317</v>
      </c>
      <c r="E5">
        <v>0.41</v>
      </c>
      <c r="F5">
        <v>0.26100000000000001</v>
      </c>
      <c r="G5">
        <f>MAX(Table2[[#This Row],[c1]:[c5]])</f>
        <v>0.41</v>
      </c>
      <c r="H5">
        <f>AVERAGE(Table2[[#This Row],[c1]:[c5]])</f>
        <v>0.25</v>
      </c>
      <c r="J5" t="str">
        <f t="shared" si="0"/>
        <v>4 &amp; 0.059 &amp; 0.203 &amp; 0.317 &amp; 0.41 &amp; 0.261 &amp; 0.25 \\</v>
      </c>
    </row>
    <row r="6" spans="1:10" x14ac:dyDescent="0.25">
      <c r="A6">
        <v>5</v>
      </c>
      <c r="B6">
        <v>0.1</v>
      </c>
      <c r="C6">
        <v>0.219</v>
      </c>
      <c r="D6">
        <v>0.45700000000000002</v>
      </c>
      <c r="E6">
        <v>0.41899999999999998</v>
      </c>
      <c r="F6">
        <v>0.32300000000000001</v>
      </c>
      <c r="G6">
        <f>MAX(Table2[[#This Row],[c1]:[c5]])</f>
        <v>0.45700000000000002</v>
      </c>
      <c r="H6">
        <f>AVERAGE(Table2[[#This Row],[c1]:[c5]])</f>
        <v>0.30359999999999998</v>
      </c>
      <c r="J6" t="str">
        <f t="shared" si="0"/>
        <v>5 &amp; 0.1 &amp; 0.219 &amp; 0.457 &amp; 0.419 &amp; 0.323 &amp; 0.3036 \\</v>
      </c>
    </row>
    <row r="7" spans="1:10" x14ac:dyDescent="0.25">
      <c r="A7">
        <v>6</v>
      </c>
      <c r="B7">
        <v>0.153</v>
      </c>
      <c r="C7">
        <v>0.308</v>
      </c>
      <c r="D7">
        <v>0.57699999999999996</v>
      </c>
      <c r="E7">
        <v>0.501</v>
      </c>
      <c r="F7">
        <v>0.39900000000000002</v>
      </c>
      <c r="G7">
        <f>MAX(Table2[[#This Row],[c1]:[c5]])</f>
        <v>0.57699999999999996</v>
      </c>
      <c r="H7">
        <f>AVERAGE(Table2[[#This Row],[c1]:[c5]])</f>
        <v>0.38759999999999994</v>
      </c>
      <c r="J7" t="str">
        <f t="shared" si="0"/>
        <v>6 &amp; 0.153 &amp; 0.308 &amp; 0.577 &amp; 0.501 &amp; 0.399 &amp; 0.3876 \\</v>
      </c>
    </row>
    <row r="8" spans="1:10" x14ac:dyDescent="0.25">
      <c r="A8">
        <v>7</v>
      </c>
      <c r="B8">
        <v>0.189</v>
      </c>
      <c r="C8">
        <v>0.65</v>
      </c>
      <c r="D8">
        <v>0.622</v>
      </c>
      <c r="E8">
        <v>0.76400000000000001</v>
      </c>
      <c r="F8">
        <v>0.443</v>
      </c>
      <c r="G8">
        <f>MAX(Table2[[#This Row],[c1]:[c5]])</f>
        <v>0.76400000000000001</v>
      </c>
      <c r="H8">
        <f>AVERAGE(Table2[[#This Row],[c1]:[c5]])</f>
        <v>0.53359999999999996</v>
      </c>
      <c r="J8" t="str">
        <f t="shared" si="0"/>
        <v>7 &amp; 0.189 &amp; 0.65 &amp; 0.622 &amp; 0.764 &amp; 0.443 &amp; 0.5336 \\</v>
      </c>
    </row>
    <row r="9" spans="1:10" x14ac:dyDescent="0.25">
      <c r="A9">
        <v>8</v>
      </c>
      <c r="B9">
        <v>0.22500000000000001</v>
      </c>
      <c r="C9">
        <v>0.69099999999999995</v>
      </c>
      <c r="D9">
        <v>0.82499999999999996</v>
      </c>
      <c r="E9">
        <v>0.86699999999999999</v>
      </c>
      <c r="F9">
        <v>0.76800000000000002</v>
      </c>
      <c r="G9">
        <f>MAX(Table2[[#This Row],[c1]:[c5]])</f>
        <v>0.86699999999999999</v>
      </c>
      <c r="H9">
        <f>AVERAGE(Table2[[#This Row],[c1]:[c5]])</f>
        <v>0.67519999999999991</v>
      </c>
      <c r="J9" t="str">
        <f t="shared" si="0"/>
        <v>8 &amp; 0.225 &amp; 0.691 &amp; 0.825 &amp; 0.867 &amp; 0.768 &amp; 0.6752 \\</v>
      </c>
    </row>
    <row r="10" spans="1:10" x14ac:dyDescent="0.25">
      <c r="A10">
        <v>9</v>
      </c>
      <c r="B10">
        <v>0.61399999999999999</v>
      </c>
      <c r="C10">
        <v>0.85899999999999999</v>
      </c>
      <c r="D10">
        <v>0.86</v>
      </c>
      <c r="E10">
        <v>0.88500000000000001</v>
      </c>
      <c r="F10">
        <v>0.79800000000000004</v>
      </c>
      <c r="G10">
        <f>MAX(Table2[[#This Row],[c1]:[c5]])</f>
        <v>0.88500000000000001</v>
      </c>
      <c r="H10">
        <f>AVERAGE(Table2[[#This Row],[c1]:[c5]])</f>
        <v>0.80320000000000003</v>
      </c>
      <c r="J10" t="str">
        <f t="shared" si="0"/>
        <v>9 &amp; 0.614 &amp; 0.859 &amp; 0.86 &amp; 0.885 &amp; 0.798 &amp; 0.8032 \\</v>
      </c>
    </row>
    <row r="11" spans="1:10" x14ac:dyDescent="0.25">
      <c r="A11">
        <v>10</v>
      </c>
      <c r="B11">
        <v>0.82199999999999995</v>
      </c>
      <c r="C11">
        <v>0.88600000000000001</v>
      </c>
      <c r="D11">
        <v>0.95799999999999996</v>
      </c>
      <c r="E11">
        <v>0.94799999999999995</v>
      </c>
      <c r="F11">
        <v>0.91800000000000004</v>
      </c>
      <c r="G11">
        <f>MAX(Table2[[#This Row],[c1]:[c5]])</f>
        <v>0.95799999999999996</v>
      </c>
      <c r="H11">
        <f>AVERAGE(Table2[[#This Row],[c1]:[c5]])</f>
        <v>0.90639999999999998</v>
      </c>
      <c r="J11" t="str">
        <f t="shared" si="0"/>
        <v>10 &amp; 0.822 &amp; 0.886 &amp; 0.958 &amp; 0.948 &amp; 0.918 &amp; 0.9064 \\</v>
      </c>
    </row>
    <row r="13" spans="1:10" x14ac:dyDescent="0.25">
      <c r="F13" t="s">
        <v>37</v>
      </c>
    </row>
    <row r="14" spans="1:10" x14ac:dyDescent="0.25">
      <c r="E14" t="s">
        <v>38</v>
      </c>
      <c r="F14">
        <v>5</v>
      </c>
      <c r="G14">
        <f>SUM(G2:G6)/F14</f>
        <v>0.3196</v>
      </c>
      <c r="H14">
        <f>SUM(H2:H6)/F14</f>
        <v>0.20659999999999998</v>
      </c>
    </row>
    <row r="15" spans="1:10" x14ac:dyDescent="0.25">
      <c r="F15">
        <v>10</v>
      </c>
      <c r="G15">
        <f>SUM(Table2[best fitness])/F15</f>
        <v>0.56489999999999996</v>
      </c>
      <c r="H15" s="2">
        <f>SUM(Table2[average fitness])/F15</f>
        <v>0.43389999999999995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049A-1F69-42FA-B109-56E44B0C00C8}">
  <dimension ref="A1:D13"/>
  <sheetViews>
    <sheetView workbookViewId="0">
      <selection activeCell="F3" sqref="F3"/>
    </sheetView>
  </sheetViews>
  <sheetFormatPr defaultRowHeight="15" x14ac:dyDescent="0.25"/>
  <sheetData>
    <row r="1" spans="1:4" x14ac:dyDescent="0.25">
      <c r="A1" t="s">
        <v>40</v>
      </c>
      <c r="B1" t="s">
        <v>43</v>
      </c>
      <c r="C1" t="s">
        <v>44</v>
      </c>
      <c r="D1" t="s">
        <v>45</v>
      </c>
    </row>
    <row r="2" spans="1:4" x14ac:dyDescent="0.25">
      <c r="A2">
        <v>3</v>
      </c>
      <c r="B2" t="s">
        <v>41</v>
      </c>
      <c r="C2">
        <v>0.40699999999999997</v>
      </c>
      <c r="D2">
        <f>Table4[[#This Row],[Solution]]^2+2*Table4[[#This Row],[Solution]]+2</f>
        <v>2.9796490000000002</v>
      </c>
    </row>
    <row r="3" spans="1:4" x14ac:dyDescent="0.25">
      <c r="A3">
        <v>2</v>
      </c>
      <c r="B3" t="s">
        <v>41</v>
      </c>
      <c r="C3">
        <v>0.39400000000000002</v>
      </c>
      <c r="D3">
        <f>Table4[[#This Row],[Solution]]^2+2*Table4[[#This Row],[Solution]]+2</f>
        <v>2.9432360000000002</v>
      </c>
    </row>
    <row r="4" spans="1:4" x14ac:dyDescent="0.25">
      <c r="A4">
        <v>4</v>
      </c>
      <c r="B4" t="s">
        <v>41</v>
      </c>
      <c r="C4">
        <v>0.38900000000000001</v>
      </c>
      <c r="D4">
        <f>Table4[[#This Row],[Solution]]^2+2*Table4[[#This Row],[Solution]]+2</f>
        <v>2.9293209999999998</v>
      </c>
    </row>
    <row r="5" spans="1:4" x14ac:dyDescent="0.25">
      <c r="A5">
        <v>3</v>
      </c>
      <c r="B5" t="s">
        <v>42</v>
      </c>
      <c r="C5">
        <v>0.376</v>
      </c>
      <c r="D5" s="1">
        <f>Table4[[#This Row],[Solution]]^2+2*Table4[[#This Row],[Solution]]+2</f>
        <v>2.8933759999999999</v>
      </c>
    </row>
    <row r="6" spans="1:4" x14ac:dyDescent="0.25">
      <c r="A6">
        <v>5</v>
      </c>
      <c r="B6" t="s">
        <v>41</v>
      </c>
      <c r="C6">
        <v>0.375</v>
      </c>
      <c r="D6">
        <f>Table4[[#This Row],[Solution]]^2+2*Table4[[#This Row],[Solution]]+2</f>
        <v>2.890625</v>
      </c>
    </row>
    <row r="7" spans="1:4" x14ac:dyDescent="0.25">
      <c r="A7">
        <v>4</v>
      </c>
      <c r="B7" t="s">
        <v>42</v>
      </c>
      <c r="C7">
        <v>0.27900000000000003</v>
      </c>
      <c r="D7" s="1">
        <f>Table4[[#This Row],[Solution]]^2+2*Table4[[#This Row],[Solution]]+2</f>
        <v>2.6358410000000001</v>
      </c>
    </row>
    <row r="8" spans="1:4" x14ac:dyDescent="0.25">
      <c r="A8">
        <v>2</v>
      </c>
      <c r="B8" t="s">
        <v>42</v>
      </c>
      <c r="C8">
        <v>0.26300000000000001</v>
      </c>
      <c r="D8" s="1">
        <f>Table4[[#This Row],[Solution]]^2+2*Table4[[#This Row],[Solution]]+2</f>
        <v>2.5951690000000003</v>
      </c>
    </row>
    <row r="9" spans="1:4" x14ac:dyDescent="0.25">
      <c r="A9">
        <v>6</v>
      </c>
      <c r="B9" t="s">
        <v>41</v>
      </c>
      <c r="C9">
        <v>0.246</v>
      </c>
      <c r="D9">
        <f>Table4[[#This Row],[Solution]]^2+2*Table4[[#This Row],[Solution]]+2</f>
        <v>2.5525159999999998</v>
      </c>
    </row>
    <row r="10" spans="1:4" x14ac:dyDescent="0.25">
      <c r="A10">
        <v>5</v>
      </c>
      <c r="B10" t="s">
        <v>42</v>
      </c>
      <c r="C10">
        <v>4.2000000000000003E-2</v>
      </c>
      <c r="D10" s="1">
        <f>Table4[[#This Row],[Solution]]^2+2*Table4[[#This Row],[Solution]]+2</f>
        <v>2.0857640000000002</v>
      </c>
    </row>
    <row r="11" spans="1:4" x14ac:dyDescent="0.25">
      <c r="A11">
        <v>1</v>
      </c>
      <c r="B11" t="s">
        <v>41</v>
      </c>
      <c r="C11">
        <v>-3.1E-2</v>
      </c>
      <c r="D11">
        <f>Table4[[#This Row],[Solution]]^2+2*Table4[[#This Row],[Solution]]+2</f>
        <v>1.9389609999999999</v>
      </c>
    </row>
    <row r="12" spans="1:4" x14ac:dyDescent="0.25">
      <c r="A12">
        <v>6</v>
      </c>
      <c r="B12" t="s">
        <v>42</v>
      </c>
      <c r="C12">
        <v>-0.247</v>
      </c>
      <c r="D12" s="1">
        <f>Table4[[#This Row],[Solution]]^2+2*Table4[[#This Row],[Solution]]+2</f>
        <v>1.5670090000000001</v>
      </c>
    </row>
    <row r="13" spans="1:4" x14ac:dyDescent="0.25">
      <c r="A13">
        <v>1</v>
      </c>
      <c r="B13" t="s">
        <v>42</v>
      </c>
      <c r="C13">
        <v>-0.41599999999999998</v>
      </c>
      <c r="D13" s="1">
        <f>Table4[[#This Row],[Solution]]^2+2*Table4[[#This Row],[Solution]]+2</f>
        <v>1.341056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B857-BD66-410F-9745-529C3AB90E4E}">
  <dimension ref="A1:B16"/>
  <sheetViews>
    <sheetView workbookViewId="0">
      <selection activeCell="A16" sqref="A16"/>
    </sheetView>
  </sheetViews>
  <sheetFormatPr defaultRowHeight="15" x14ac:dyDescent="0.25"/>
  <cols>
    <col min="1" max="1" width="15.28515625" customWidth="1"/>
    <col min="2" max="2" width="10.85546875" customWidth="1"/>
  </cols>
  <sheetData>
    <row r="1" spans="1:2" x14ac:dyDescent="0.25">
      <c r="A1" t="s">
        <v>46</v>
      </c>
      <c r="B1" t="s">
        <v>47</v>
      </c>
    </row>
    <row r="2" spans="1:2" x14ac:dyDescent="0.25">
      <c r="A2" t="s">
        <v>49</v>
      </c>
      <c r="B2">
        <v>0.98</v>
      </c>
    </row>
    <row r="3" spans="1:2" x14ac:dyDescent="0.25">
      <c r="A3" t="s">
        <v>48</v>
      </c>
      <c r="B3">
        <v>0.95</v>
      </c>
    </row>
    <row r="4" spans="1:2" x14ac:dyDescent="0.25">
      <c r="A4" t="s">
        <v>49</v>
      </c>
      <c r="B4">
        <v>0.93</v>
      </c>
    </row>
    <row r="5" spans="1:2" x14ac:dyDescent="0.25">
      <c r="A5" t="s">
        <v>49</v>
      </c>
      <c r="B5">
        <v>0.9</v>
      </c>
    </row>
    <row r="6" spans="1:2" x14ac:dyDescent="0.25">
      <c r="A6" t="s">
        <v>48</v>
      </c>
      <c r="B6">
        <v>0.89</v>
      </c>
    </row>
    <row r="7" spans="1:2" x14ac:dyDescent="0.25">
      <c r="A7" t="s">
        <v>48</v>
      </c>
      <c r="B7">
        <v>0.88</v>
      </c>
    </row>
    <row r="8" spans="1:2" x14ac:dyDescent="0.25">
      <c r="A8" t="s">
        <v>49</v>
      </c>
      <c r="B8">
        <v>0.86</v>
      </c>
    </row>
    <row r="9" spans="1:2" x14ac:dyDescent="0.25">
      <c r="A9" t="s">
        <v>48</v>
      </c>
      <c r="B9">
        <v>0.85</v>
      </c>
    </row>
    <row r="10" spans="1:2" x14ac:dyDescent="0.25">
      <c r="A10" t="s">
        <v>49</v>
      </c>
      <c r="B10">
        <v>0.82</v>
      </c>
    </row>
    <row r="11" spans="1:2" x14ac:dyDescent="0.25">
      <c r="A11" t="s">
        <v>48</v>
      </c>
      <c r="B11">
        <v>0.8</v>
      </c>
    </row>
    <row r="12" spans="1:2" x14ac:dyDescent="0.25">
      <c r="A12" t="s">
        <v>49</v>
      </c>
      <c r="B12">
        <v>0.75</v>
      </c>
    </row>
    <row r="13" spans="1:2" x14ac:dyDescent="0.25">
      <c r="A13" t="s">
        <v>49</v>
      </c>
      <c r="B13">
        <v>0.7</v>
      </c>
    </row>
    <row r="16" spans="1:2" x14ac:dyDescent="0.25">
      <c r="A16" t="str">
        <f>_xlfn.TEXTJOIN(" &amp; ",TRUE,Table3[Configuration])</f>
        <v>\eatwo &amp; \eaone &amp; \eatwo &amp; \eatwo &amp; \eaone &amp; \eaone &amp; \eatwo &amp; \eaone &amp; \eatwo &amp; \eaone &amp; \eatwo &amp; \eatwo</v>
      </c>
      <c r="B16" t="str">
        <f>_xlfn.TEXTJOIN(" &amp; ",TRUE,Table3[Accuracy])</f>
        <v>0.98 &amp; 0.95 &amp; 0.93 &amp; 0.9 &amp; 0.89 &amp; 0.88 &amp; 0.86 &amp; 0.85 &amp; 0.82 &amp; 0.8 &amp; 0.75 &amp; 0.7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394D-4604-49DD-B4F1-615E724B38C2}">
  <dimension ref="A1:J15"/>
  <sheetViews>
    <sheetView tabSelected="1" workbookViewId="0">
      <selection activeCell="A11" sqref="A11"/>
    </sheetView>
  </sheetViews>
  <sheetFormatPr defaultRowHeight="15" x14ac:dyDescent="0.25"/>
  <cols>
    <col min="1" max="1" width="9.5703125" customWidth="1"/>
    <col min="3" max="3" width="13.140625" customWidth="1"/>
  </cols>
  <sheetData>
    <row r="1" spans="1:10" x14ac:dyDescent="0.25">
      <c r="A1" t="s">
        <v>52</v>
      </c>
      <c r="B1" t="s">
        <v>51</v>
      </c>
      <c r="C1" t="s">
        <v>53</v>
      </c>
      <c r="D1" t="s">
        <v>55</v>
      </c>
      <c r="E1" t="s">
        <v>56</v>
      </c>
      <c r="F1" t="s">
        <v>57</v>
      </c>
      <c r="G1" t="s">
        <v>54</v>
      </c>
      <c r="H1" t="s">
        <v>58</v>
      </c>
      <c r="I1" t="s">
        <v>59</v>
      </c>
      <c r="J1" t="s">
        <v>60</v>
      </c>
    </row>
    <row r="2" spans="1:10" x14ac:dyDescent="0.25">
      <c r="A2" t="s">
        <v>1</v>
      </c>
      <c r="B2">
        <v>10</v>
      </c>
      <c r="C2">
        <v>5</v>
      </c>
      <c r="D2">
        <f>Table5[[#This Row],[Predicted 1]]-Table5[[#This Row],[Actual]]</f>
        <v>-5</v>
      </c>
      <c r="E2">
        <f>Table5[[#This Row],[O-E]]^2</f>
        <v>25</v>
      </c>
      <c r="F2">
        <f>Table5[[#This Row],[sq(O-E)]]/Table5[[#This Row],[Actual]]</f>
        <v>2.5</v>
      </c>
      <c r="G2" s="1">
        <v>3</v>
      </c>
      <c r="H2" s="1">
        <f>Table5[[#This Row],[Predicted 2]]-Table5[[#This Row],[Actual]]</f>
        <v>-7</v>
      </c>
      <c r="I2" s="1">
        <f>Table5[[#This Row],[O2-E]]^2</f>
        <v>49</v>
      </c>
      <c r="J2" s="1">
        <f>Table5[[#This Row],[sq(O2-E)]]/Table5[[#This Row],[Actual]]</f>
        <v>4.9000000000000004</v>
      </c>
    </row>
    <row r="3" spans="1:10" x14ac:dyDescent="0.25">
      <c r="A3" t="s">
        <v>2</v>
      </c>
      <c r="B3">
        <v>10</v>
      </c>
      <c r="C3">
        <v>8</v>
      </c>
      <c r="D3">
        <f>Table5[[#This Row],[Predicted 1]]-Table5[[#This Row],[Actual]]</f>
        <v>-2</v>
      </c>
      <c r="E3">
        <f>Table5[[#This Row],[O-E]]^2</f>
        <v>4</v>
      </c>
      <c r="F3">
        <f>Table5[[#This Row],[sq(O-E)]]/Table5[[#This Row],[Actual]]</f>
        <v>0.4</v>
      </c>
      <c r="G3" s="1">
        <v>12</v>
      </c>
      <c r="H3" s="1">
        <f>Table5[[#This Row],[Predicted 2]]-Table5[[#This Row],[Actual]]</f>
        <v>2</v>
      </c>
      <c r="I3" s="1">
        <f>Table5[[#This Row],[O2-E]]^2</f>
        <v>4</v>
      </c>
      <c r="J3" s="1">
        <f>Table5[[#This Row],[sq(O2-E)]]/Table5[[#This Row],[Actual]]</f>
        <v>0.4</v>
      </c>
    </row>
    <row r="4" spans="1:10" x14ac:dyDescent="0.25">
      <c r="A4" t="s">
        <v>0</v>
      </c>
      <c r="B4">
        <v>10</v>
      </c>
      <c r="C4">
        <v>15</v>
      </c>
      <c r="D4">
        <f>Table5[[#This Row],[Predicted 1]]-Table5[[#This Row],[Actual]]</f>
        <v>5</v>
      </c>
      <c r="E4">
        <f>Table5[[#This Row],[O-E]]^2</f>
        <v>25</v>
      </c>
      <c r="F4">
        <f>Table5[[#This Row],[sq(O-E)]]/Table5[[#This Row],[Actual]]</f>
        <v>2.5</v>
      </c>
      <c r="G4" s="1">
        <v>5</v>
      </c>
      <c r="H4" s="1">
        <f>Table5[[#This Row],[Predicted 2]]-Table5[[#This Row],[Actual]]</f>
        <v>-5</v>
      </c>
      <c r="I4" s="1">
        <f>Table5[[#This Row],[O2-E]]^2</f>
        <v>25</v>
      </c>
      <c r="J4" s="1">
        <f>Table5[[#This Row],[sq(O2-E)]]/Table5[[#This Row],[Actual]]</f>
        <v>2.5</v>
      </c>
    </row>
    <row r="5" spans="1:10" x14ac:dyDescent="0.25">
      <c r="A5" t="s">
        <v>3</v>
      </c>
      <c r="B5">
        <v>10</v>
      </c>
      <c r="C5">
        <v>12</v>
      </c>
      <c r="D5">
        <f>Table5[[#This Row],[Predicted 1]]-Table5[[#This Row],[Actual]]</f>
        <v>2</v>
      </c>
      <c r="E5">
        <f>Table5[[#This Row],[O-E]]^2</f>
        <v>4</v>
      </c>
      <c r="F5">
        <f>Table5[[#This Row],[sq(O-E)]]/Table5[[#This Row],[Actual]]</f>
        <v>0.4</v>
      </c>
      <c r="G5" s="1">
        <v>18</v>
      </c>
      <c r="H5" s="1">
        <f>Table5[[#This Row],[Predicted 2]]-Table5[[#This Row],[Actual]]</f>
        <v>8</v>
      </c>
      <c r="I5" s="1">
        <f>Table5[[#This Row],[O2-E]]^2</f>
        <v>64</v>
      </c>
      <c r="J5" s="1">
        <f>Table5[[#This Row],[sq(O2-E)]]/Table5[[#This Row],[Actual]]</f>
        <v>6.4</v>
      </c>
    </row>
    <row r="6" spans="1:10" x14ac:dyDescent="0.25">
      <c r="A6" t="s">
        <v>50</v>
      </c>
      <c r="B6">
        <v>10</v>
      </c>
      <c r="C6">
        <v>10</v>
      </c>
      <c r="D6">
        <f>Table5[[#This Row],[Predicted 1]]-Table5[[#This Row],[Actual]]</f>
        <v>0</v>
      </c>
      <c r="E6">
        <f>Table5[[#This Row],[O-E]]^2</f>
        <v>0</v>
      </c>
      <c r="F6">
        <f>Table5[[#This Row],[sq(O-E)]]/Table5[[#This Row],[Actual]]</f>
        <v>0</v>
      </c>
      <c r="G6" s="1">
        <v>12</v>
      </c>
      <c r="H6" s="1">
        <f>Table5[[#This Row],[Predicted 2]]-Table5[[#This Row],[Actual]]</f>
        <v>2</v>
      </c>
      <c r="I6" s="1">
        <f>Table5[[#This Row],[O2-E]]^2</f>
        <v>4</v>
      </c>
      <c r="J6" s="1">
        <f>Table5[[#This Row],[sq(O2-E)]]/Table5[[#This Row],[Actual]]</f>
        <v>0.4</v>
      </c>
    </row>
    <row r="7" spans="1:10" x14ac:dyDescent="0.25">
      <c r="A7" t="s">
        <v>15</v>
      </c>
      <c r="F7">
        <f>SUBTOTAL(109,Table5[sq(O-E)/E])</f>
        <v>5.8000000000000007</v>
      </c>
      <c r="J7">
        <f>SUBTOTAL(109,Table5[sq(O2-E)/E])</f>
        <v>14.600000000000001</v>
      </c>
    </row>
    <row r="10" spans="1:10" x14ac:dyDescent="0.25">
      <c r="A10" t="str">
        <f>_xlfn.TEXTJOIN(" &amp; ",TRUE,Table5[Classes]) &amp; "&amp; \\"</f>
        <v>A &amp; B &amp; C &amp; D &amp; E&amp; \\</v>
      </c>
    </row>
    <row r="11" spans="1:10" x14ac:dyDescent="0.25">
      <c r="A11" t="str">
        <f>_xlfn.TEXTJOIN(" &amp; ",TRUE,Table5[Actual]) &amp; " \\"</f>
        <v>10 &amp; 10 &amp; 10 &amp; 10 &amp; 10 \\</v>
      </c>
    </row>
    <row r="12" spans="1:10" x14ac:dyDescent="0.25">
      <c r="A12" t="str">
        <f>_xlfn.TEXTJOIN(" &amp; ",TRUE,Table5[Predicted 2]) &amp; " \\"</f>
        <v>3 &amp; 12 &amp; 5 &amp; 18 &amp; 12 \\</v>
      </c>
    </row>
    <row r="13" spans="1:10" x14ac:dyDescent="0.25">
      <c r="A13" t="str">
        <f>_xlfn.TEXTJOIN(" &amp; ",TRUE,Table5[O2-E]) &amp; " \\"</f>
        <v>-7 &amp; 2 &amp; -5 &amp; 8 &amp; 2 \\</v>
      </c>
    </row>
    <row r="14" spans="1:10" x14ac:dyDescent="0.25">
      <c r="A14" t="str">
        <f>_xlfn.TEXTJOIN(" &amp; ",TRUE,Table5[sq(O2-E)]) &amp; " \\"</f>
        <v>49 &amp; 4 &amp; 25 &amp; 64 &amp; 4 \\</v>
      </c>
    </row>
    <row r="15" spans="1:10" x14ac:dyDescent="0.25">
      <c r="A15" t="str">
        <f>_xlfn.TEXTJOIN(" &amp; ",TRUE,Table5[sq(O2-E)/E]) &amp; " \\"</f>
        <v>4.9 &amp; 0.4 &amp; 2.5 &amp; 6.4 &amp; 0.4 \\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9ECC0A3D950A4B93D7FB3E4B3F7C9B" ma:contentTypeVersion="18" ma:contentTypeDescription="Create a new document." ma:contentTypeScope="" ma:versionID="604529a37919700f89f5e7f7e134aca5">
  <xsd:schema xmlns:xsd="http://www.w3.org/2001/XMLSchema" xmlns:xs="http://www.w3.org/2001/XMLSchema" xmlns:p="http://schemas.microsoft.com/office/2006/metadata/properties" xmlns:ns2="0049428e-c200-4aa5-b534-fec1b8257d7c" xmlns:ns3="b75875cb-83d5-471a-91a5-5cda9cefdfb0" targetNamespace="http://schemas.microsoft.com/office/2006/metadata/properties" ma:root="true" ma:fieldsID="9846a2d88e57a8df16f2ac31e28494a1" ns2:_="" ns3:_="">
    <xsd:import namespace="0049428e-c200-4aa5-b534-fec1b8257d7c"/>
    <xsd:import namespace="b75875cb-83d5-471a-91a5-5cda9cefdf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49428e-c200-4aa5-b534-fec1b8257d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f49d74-f001-4415-baf8-c8e6aa96c2b5}" ma:internalName="TaxCatchAll" ma:showField="CatchAllData" ma:web="0049428e-c200-4aa5-b534-fec1b8257d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875cb-83d5-471a-91a5-5cda9cefdf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fcb29a4-fff7-42c0-9681-a08b773fa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875cb-83d5-471a-91a5-5cda9cefdfb0">
      <Terms xmlns="http://schemas.microsoft.com/office/infopath/2007/PartnerControls"/>
    </lcf76f155ced4ddcb4097134ff3c332f>
    <TaxCatchAll xmlns="0049428e-c200-4aa5-b534-fec1b8257d7c" xsi:nil="true"/>
  </documentManagement>
</p:properties>
</file>

<file path=customXml/itemProps1.xml><?xml version="1.0" encoding="utf-8"?>
<ds:datastoreItem xmlns:ds="http://schemas.openxmlformats.org/officeDocument/2006/customXml" ds:itemID="{E851D018-464F-49C9-9220-C40144F1C8FC}"/>
</file>

<file path=customXml/itemProps2.xml><?xml version="1.0" encoding="utf-8"?>
<ds:datastoreItem xmlns:ds="http://schemas.openxmlformats.org/officeDocument/2006/customXml" ds:itemID="{9BFEC5C8-2699-44C8-B8A0-8EA59102BC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0895A5-C3AA-4F8D-A1D6-26D7E44610BA}">
  <ds:schemaRefs>
    <ds:schemaRef ds:uri="4263a8c4-8d42-49b9-803d-aac0dd5b9235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95a5da95-e705-4b9a-bf33-237d3885377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1Q2</vt:lpstr>
      <vt:lpstr>1Q3</vt:lpstr>
      <vt:lpstr>2Q1</vt:lpstr>
      <vt:lpstr>2Q2</vt:lpstr>
      <vt:lpstr>2Q5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Tang Tiong Yew</dc:creator>
  <cp:lastModifiedBy>Dr Tang Tiong Yew</cp:lastModifiedBy>
  <dcterms:created xsi:type="dcterms:W3CDTF">2022-11-07T00:22:05Z</dcterms:created>
  <dcterms:modified xsi:type="dcterms:W3CDTF">2022-11-11T15:18:25Z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0x010100459ECC0A3D950A4B93D7FB3E4B3F7C9B</vt:lpwstr>
  </property>
</Properties>
</file>