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revIDLastSave="4" documentId="8_{D97C309C-E895-4D3A-B3CC-23E0AE88ADB0}" xr6:coauthVersionLast="47" xr6:coauthVersionMax="47" xr10:uidLastSave="{7C19C460-67E8-4373-9799-D0887C0BC559}"/>
  <bookViews>
    <workbookView xWindow="-120" yWindow="-120" windowWidth="29040" windowHeight="15720" xr2:uid="{74D82F59-967D-4B75-8F31-B66FCE3EFE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J3" i="1" s="1"/>
  <c r="K3" i="1" s="1"/>
  <c r="L3" i="1" l="1"/>
  <c r="F4" i="1" s="1"/>
  <c r="P3" i="1"/>
  <c r="M3" i="1"/>
  <c r="G4" i="1" s="1"/>
  <c r="N3" i="1"/>
  <c r="H4" i="1" s="1"/>
  <c r="I4" i="1" l="1"/>
  <c r="J4" i="1" s="1"/>
  <c r="K4" i="1" s="1"/>
  <c r="P4" i="1" s="1"/>
  <c r="L4" i="1" l="1"/>
  <c r="F5" i="1" s="1"/>
  <c r="N4" i="1"/>
  <c r="H5" i="1" s="1"/>
  <c r="M4" i="1"/>
  <c r="G5" i="1" s="1"/>
  <c r="I5" i="1" l="1"/>
  <c r="J5" i="1" s="1"/>
  <c r="K5" i="1" s="1"/>
  <c r="P5" i="1" s="1"/>
  <c r="L5" i="1" l="1"/>
  <c r="F6" i="1" s="1"/>
  <c r="M5" i="1"/>
  <c r="G6" i="1" s="1"/>
  <c r="N5" i="1"/>
  <c r="H6" i="1" s="1"/>
  <c r="I6" i="1" l="1"/>
  <c r="J6" i="1" s="1"/>
  <c r="K6" i="1" s="1"/>
  <c r="P6" i="1" s="1"/>
  <c r="R6" i="1" s="1"/>
  <c r="N6" i="1" l="1"/>
  <c r="H7" i="1" s="1"/>
  <c r="M6" i="1"/>
  <c r="G7" i="1" s="1"/>
  <c r="L6" i="1"/>
  <c r="F7" i="1" s="1"/>
  <c r="I7" i="1" l="1"/>
  <c r="J7" i="1" s="1"/>
  <c r="K7" i="1" s="1"/>
  <c r="L7" i="1" l="1"/>
  <c r="F8" i="1" s="1"/>
  <c r="P7" i="1"/>
  <c r="N7" i="1"/>
  <c r="H8" i="1" s="1"/>
  <c r="M7" i="1"/>
  <c r="G8" i="1" s="1"/>
  <c r="I8" i="1" l="1"/>
  <c r="J8" i="1" s="1"/>
  <c r="K8" i="1" s="1"/>
  <c r="M8" i="1" l="1"/>
  <c r="G9" i="1" s="1"/>
  <c r="P8" i="1"/>
  <c r="N8" i="1"/>
  <c r="H9" i="1" s="1"/>
  <c r="L8" i="1"/>
  <c r="F9" i="1" s="1"/>
  <c r="I9" i="1" l="1"/>
  <c r="J9" i="1" s="1"/>
  <c r="K9" i="1" s="1"/>
  <c r="L9" i="1" l="1"/>
  <c r="F10" i="1" s="1"/>
  <c r="M9" i="1"/>
  <c r="G10" i="1" s="1"/>
  <c r="P9" i="1"/>
  <c r="N9" i="1"/>
  <c r="H10" i="1" s="1"/>
  <c r="I10" i="1" l="1"/>
  <c r="J10" i="1" s="1"/>
  <c r="K10" i="1" s="1"/>
  <c r="N10" i="1" l="1"/>
  <c r="H11" i="1" s="1"/>
  <c r="M10" i="1"/>
  <c r="G11" i="1" s="1"/>
  <c r="L10" i="1"/>
  <c r="F11" i="1" s="1"/>
  <c r="P10" i="1"/>
  <c r="R10" i="1" s="1"/>
  <c r="I11" i="1" l="1"/>
  <c r="J11" i="1" s="1"/>
  <c r="K11" i="1" s="1"/>
  <c r="P11" i="1" l="1"/>
  <c r="N11" i="1"/>
  <c r="H12" i="1" s="1"/>
  <c r="M11" i="1"/>
  <c r="G12" i="1" s="1"/>
  <c r="L11" i="1"/>
  <c r="F12" i="1" s="1"/>
  <c r="I12" i="1" l="1"/>
  <c r="J12" i="1" s="1"/>
  <c r="K12" i="1" s="1"/>
  <c r="P12" i="1" l="1"/>
  <c r="N12" i="1"/>
  <c r="H13" i="1" s="1"/>
  <c r="M12" i="1"/>
  <c r="G13" i="1" s="1"/>
  <c r="L12" i="1"/>
  <c r="F13" i="1" s="1"/>
  <c r="I13" i="1" l="1"/>
  <c r="J13" i="1" s="1"/>
  <c r="K13" i="1" s="1"/>
  <c r="M13" i="1" s="1"/>
  <c r="G14" i="1" s="1"/>
  <c r="P13" i="1"/>
  <c r="N13" i="1" l="1"/>
  <c r="H14" i="1" s="1"/>
  <c r="L13" i="1"/>
  <c r="F14" i="1" s="1"/>
  <c r="I14" i="1" s="1"/>
  <c r="J14" i="1" s="1"/>
  <c r="K14" i="1" s="1"/>
  <c r="P14" i="1" l="1"/>
  <c r="R14" i="1" s="1"/>
  <c r="N14" i="1"/>
  <c r="H15" i="1" s="1"/>
  <c r="M14" i="1"/>
  <c r="G15" i="1" s="1"/>
  <c r="L14" i="1"/>
  <c r="F15" i="1" s="1"/>
  <c r="I15" i="1" l="1"/>
  <c r="J15" i="1" s="1"/>
  <c r="K15" i="1" s="1"/>
  <c r="P15" i="1" l="1"/>
  <c r="N15" i="1"/>
  <c r="H16" i="1" s="1"/>
  <c r="M15" i="1"/>
  <c r="G16" i="1" s="1"/>
  <c r="L15" i="1"/>
  <c r="F16" i="1" s="1"/>
  <c r="I16" i="1" l="1"/>
  <c r="J16" i="1" s="1"/>
  <c r="K16" i="1" s="1"/>
  <c r="M16" i="1" s="1"/>
  <c r="G17" i="1" s="1"/>
  <c r="N16" i="1" l="1"/>
  <c r="H17" i="1" s="1"/>
  <c r="P16" i="1"/>
  <c r="L16" i="1"/>
  <c r="F17" i="1" s="1"/>
  <c r="I17" i="1" s="1"/>
  <c r="J17" i="1" s="1"/>
  <c r="K17" i="1" s="1"/>
  <c r="P17" i="1" l="1"/>
  <c r="M17" i="1"/>
  <c r="G18" i="1" s="1"/>
  <c r="N17" i="1"/>
  <c r="H18" i="1" s="1"/>
  <c r="L17" i="1"/>
  <c r="F18" i="1" s="1"/>
  <c r="I18" i="1" l="1"/>
  <c r="J18" i="1" s="1"/>
  <c r="K18" i="1" s="1"/>
  <c r="P18" i="1" l="1"/>
  <c r="R18" i="1" s="1"/>
  <c r="N18" i="1"/>
  <c r="H19" i="1" s="1"/>
  <c r="M18" i="1"/>
  <c r="G19" i="1" s="1"/>
  <c r="L18" i="1"/>
  <c r="F19" i="1" s="1"/>
  <c r="I19" i="1" l="1"/>
  <c r="J19" i="1" s="1"/>
  <c r="K19" i="1" s="1"/>
  <c r="M19" i="1" l="1"/>
  <c r="G20" i="1" s="1"/>
  <c r="N19" i="1"/>
  <c r="H20" i="1" s="1"/>
  <c r="P19" i="1"/>
  <c r="L19" i="1"/>
  <c r="F20" i="1" s="1"/>
  <c r="I20" i="1" l="1"/>
  <c r="J20" i="1" s="1"/>
  <c r="K20" i="1" s="1"/>
  <c r="N20" i="1" s="1"/>
  <c r="H21" i="1" s="1"/>
  <c r="M20" i="1"/>
  <c r="G21" i="1" s="1"/>
  <c r="L20" i="1" l="1"/>
  <c r="F21" i="1" s="1"/>
  <c r="I21" i="1" s="1"/>
  <c r="J21" i="1" s="1"/>
  <c r="K21" i="1" s="1"/>
  <c r="P20" i="1"/>
  <c r="M21" i="1" l="1"/>
  <c r="G22" i="1" s="1"/>
  <c r="N21" i="1"/>
  <c r="H22" i="1" s="1"/>
  <c r="L21" i="1"/>
  <c r="F22" i="1" s="1"/>
  <c r="P21" i="1"/>
  <c r="I22" i="1" l="1"/>
  <c r="J22" i="1" s="1"/>
  <c r="K22" i="1" s="1"/>
  <c r="P22" i="1" l="1"/>
  <c r="R22" i="1" s="1"/>
  <c r="N22" i="1"/>
  <c r="H23" i="1" s="1"/>
  <c r="L22" i="1"/>
  <c r="F23" i="1" s="1"/>
  <c r="M22" i="1"/>
  <c r="G23" i="1" s="1"/>
  <c r="I23" i="1" l="1"/>
  <c r="J23" i="1" s="1"/>
  <c r="K23" i="1" s="1"/>
  <c r="L23" i="1" l="1"/>
  <c r="F24" i="1" s="1"/>
  <c r="N23" i="1"/>
  <c r="H24" i="1" s="1"/>
  <c r="M23" i="1"/>
  <c r="G24" i="1" s="1"/>
  <c r="P23" i="1"/>
  <c r="I24" i="1" l="1"/>
  <c r="J24" i="1" s="1"/>
  <c r="K24" i="1" s="1"/>
  <c r="L24" i="1" l="1"/>
  <c r="F25" i="1" s="1"/>
  <c r="N24" i="1"/>
  <c r="H25" i="1" s="1"/>
  <c r="M24" i="1"/>
  <c r="G25" i="1" s="1"/>
  <c r="P24" i="1"/>
  <c r="I25" i="1" l="1"/>
  <c r="J25" i="1" s="1"/>
  <c r="K25" i="1" s="1"/>
  <c r="L25" i="1" l="1"/>
  <c r="F26" i="1" s="1"/>
  <c r="P25" i="1"/>
  <c r="M25" i="1"/>
  <c r="G26" i="1" s="1"/>
  <c r="N25" i="1"/>
  <c r="H26" i="1" s="1"/>
  <c r="I26" i="1" l="1"/>
  <c r="J26" i="1" s="1"/>
  <c r="K26" i="1" s="1"/>
  <c r="P26" i="1" l="1"/>
  <c r="R26" i="1" s="1"/>
  <c r="N26" i="1"/>
  <c r="M26" i="1"/>
  <c r="L26" i="1"/>
</calcChain>
</file>

<file path=xl/sharedStrings.xml><?xml version="1.0" encoding="utf-8"?>
<sst xmlns="http://schemas.openxmlformats.org/spreadsheetml/2006/main" count="22" uniqueCount="17">
  <si>
    <t>x1</t>
  </si>
  <si>
    <t>x2</t>
  </si>
  <si>
    <t>expected output</t>
  </si>
  <si>
    <t>w1</t>
  </si>
  <si>
    <t>w2</t>
  </si>
  <si>
    <t>theta</t>
  </si>
  <si>
    <t>Iteration</t>
  </si>
  <si>
    <t>w1x1+w2x2-theta</t>
  </si>
  <si>
    <t>calculated output, Y</t>
  </si>
  <si>
    <t>e</t>
  </si>
  <si>
    <t>Delta w1</t>
  </si>
  <si>
    <t>Delta w2</t>
  </si>
  <si>
    <t>Delta theta</t>
  </si>
  <si>
    <t>learning rate, alpha</t>
  </si>
  <si>
    <t>Epoch</t>
  </si>
  <si>
    <t>MSE</t>
  </si>
  <si>
    <t>e*e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</si>
</sst>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B7282-B38B-43B1-AD6B-0D7DE8196751}">
  <dimension ref="A1:R26"/>
  <sheetViews>
    <sheetView tabSelected="1" workbookViewId="0">
      <selection activeCell="F14" sqref="F14"/>
    </sheetView>
  </sheetViews>
  <sheetFormatPr defaultRowHeight="15" x14ac:dyDescent="0.25"/>
  <cols>
    <col min="1" max="1" width="18.42578125" style="1" bestFit="1" customWidth="1"/>
    <col min="2" max="2" width="8.7109375" style="1" bestFit="1" customWidth="1"/>
    <col min="3" max="4" width="9.140625" style="1"/>
    <col min="5" max="5" width="15.85546875" style="1" bestFit="1" customWidth="1"/>
    <col min="6" max="8" width="9.140625" style="1"/>
    <col min="9" max="9" width="16.5703125" style="1" bestFit="1" customWidth="1"/>
    <col min="10" max="10" width="18.7109375" style="1" bestFit="1" customWidth="1"/>
    <col min="11" max="13" width="9.140625" style="1"/>
    <col min="14" max="14" width="10.85546875" style="1" bestFit="1" customWidth="1"/>
    <col min="15" max="15" width="9.140625" style="1"/>
    <col min="16" max="16" width="12.85546875" style="1" bestFit="1" customWidth="1"/>
    <col min="17" max="16384" width="9.140625" style="1"/>
  </cols>
  <sheetData>
    <row r="1" spans="1:18" x14ac:dyDescent="0.25">
      <c r="A1" s="1" t="s">
        <v>13</v>
      </c>
      <c r="B1" s="1">
        <v>0.5</v>
      </c>
    </row>
    <row r="2" spans="1:18" x14ac:dyDescent="0.25">
      <c r="A2" s="1" t="s">
        <v>14</v>
      </c>
      <c r="B2" s="2" t="s">
        <v>6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P2" s="1" t="s">
        <v>16</v>
      </c>
    </row>
    <row r="3" spans="1:18" x14ac:dyDescent="0.25">
      <c r="A3" s="9">
        <v>1</v>
      </c>
      <c r="B3" s="3">
        <v>1</v>
      </c>
      <c r="C3" s="3">
        <v>0</v>
      </c>
      <c r="D3" s="3">
        <v>0</v>
      </c>
      <c r="E3" s="3">
        <v>0</v>
      </c>
      <c r="F3" s="3">
        <v>0.1</v>
      </c>
      <c r="G3" s="3">
        <v>-0.1</v>
      </c>
      <c r="H3" s="3">
        <v>0.3</v>
      </c>
      <c r="I3" s="3">
        <f t="shared" ref="I3:I26" si="0">F3*C3+G3*D3-H3</f>
        <v>-0.3</v>
      </c>
      <c r="J3" s="4">
        <f t="shared" ref="J3:J26" si="1">IF(I3&lt;0,0,1)</f>
        <v>0</v>
      </c>
      <c r="K3" s="4">
        <f t="shared" ref="K3:K26" si="2">E3-J3</f>
        <v>0</v>
      </c>
      <c r="L3" s="4">
        <f t="shared" ref="L3:L26" si="3">B$1*C3*K3</f>
        <v>0</v>
      </c>
      <c r="M3" s="4">
        <f t="shared" ref="M3:M26" si="4">B$1*D3*K3</f>
        <v>0</v>
      </c>
      <c r="N3" s="4">
        <f t="shared" ref="N3:N26" si="5">B$1*-1*K3</f>
        <v>0</v>
      </c>
      <c r="P3" s="1">
        <f>K3^2</f>
        <v>0</v>
      </c>
    </row>
    <row r="4" spans="1:18" x14ac:dyDescent="0.25">
      <c r="A4" s="9"/>
      <c r="B4" s="4">
        <v>2</v>
      </c>
      <c r="C4" s="4">
        <v>0</v>
      </c>
      <c r="D4" s="4">
        <v>1</v>
      </c>
      <c r="E4" s="4">
        <v>0</v>
      </c>
      <c r="F4" s="4">
        <f t="shared" ref="F4:F26" si="6">F3+L3</f>
        <v>0.1</v>
      </c>
      <c r="G4" s="4">
        <f t="shared" ref="G4:G26" si="7">G3+M3</f>
        <v>-0.1</v>
      </c>
      <c r="H4" s="4">
        <f t="shared" ref="H4:H26" si="8">H3+N3</f>
        <v>0.3</v>
      </c>
      <c r="I4" s="3">
        <f t="shared" si="0"/>
        <v>-0.4</v>
      </c>
      <c r="J4" s="4">
        <f t="shared" si="1"/>
        <v>0</v>
      </c>
      <c r="K4" s="4">
        <f t="shared" si="2"/>
        <v>0</v>
      </c>
      <c r="L4" s="4">
        <f t="shared" si="3"/>
        <v>0</v>
      </c>
      <c r="M4" s="4">
        <f t="shared" si="4"/>
        <v>0</v>
      </c>
      <c r="N4" s="4">
        <f t="shared" si="5"/>
        <v>0</v>
      </c>
      <c r="P4" s="1">
        <f t="shared" ref="P4:P18" si="9">K4^2</f>
        <v>0</v>
      </c>
    </row>
    <row r="5" spans="1:18" x14ac:dyDescent="0.25">
      <c r="A5" s="9"/>
      <c r="B5" s="4">
        <v>3</v>
      </c>
      <c r="C5" s="4">
        <v>1</v>
      </c>
      <c r="D5" s="4">
        <v>0</v>
      </c>
      <c r="E5" s="4">
        <v>0</v>
      </c>
      <c r="F5" s="4">
        <f t="shared" si="6"/>
        <v>0.1</v>
      </c>
      <c r="G5" s="4">
        <f t="shared" si="7"/>
        <v>-0.1</v>
      </c>
      <c r="H5" s="4">
        <f t="shared" si="8"/>
        <v>0.3</v>
      </c>
      <c r="I5" s="3">
        <f t="shared" si="0"/>
        <v>-0.19999999999999998</v>
      </c>
      <c r="J5" s="4">
        <f t="shared" si="1"/>
        <v>0</v>
      </c>
      <c r="K5" s="4">
        <f t="shared" si="2"/>
        <v>0</v>
      </c>
      <c r="L5" s="4">
        <f t="shared" si="3"/>
        <v>0</v>
      </c>
      <c r="M5" s="4">
        <f t="shared" si="4"/>
        <v>0</v>
      </c>
      <c r="N5" s="4">
        <f t="shared" si="5"/>
        <v>0</v>
      </c>
      <c r="P5" s="1">
        <f t="shared" si="9"/>
        <v>0</v>
      </c>
    </row>
    <row r="6" spans="1:18" x14ac:dyDescent="0.25">
      <c r="A6" s="9"/>
      <c r="B6" s="4">
        <v>4</v>
      </c>
      <c r="C6" s="4">
        <v>1</v>
      </c>
      <c r="D6" s="4">
        <v>1</v>
      </c>
      <c r="E6" s="4">
        <v>1</v>
      </c>
      <c r="F6" s="4">
        <f t="shared" si="6"/>
        <v>0.1</v>
      </c>
      <c r="G6" s="4">
        <f t="shared" si="7"/>
        <v>-0.1</v>
      </c>
      <c r="H6" s="4">
        <f t="shared" si="8"/>
        <v>0.3</v>
      </c>
      <c r="I6" s="3">
        <f t="shared" si="0"/>
        <v>-0.3</v>
      </c>
      <c r="J6" s="4">
        <f t="shared" si="1"/>
        <v>0</v>
      </c>
      <c r="K6" s="4">
        <f t="shared" si="2"/>
        <v>1</v>
      </c>
      <c r="L6" s="4">
        <f t="shared" si="3"/>
        <v>0.5</v>
      </c>
      <c r="M6" s="4">
        <f t="shared" si="4"/>
        <v>0.5</v>
      </c>
      <c r="N6" s="4">
        <f t="shared" si="5"/>
        <v>-0.5</v>
      </c>
      <c r="P6" s="1">
        <f t="shared" si="9"/>
        <v>1</v>
      </c>
      <c r="Q6" s="1" t="s">
        <v>15</v>
      </c>
      <c r="R6" s="1">
        <f>SUM(P3:P6)/4</f>
        <v>0.25</v>
      </c>
    </row>
    <row r="7" spans="1:18" x14ac:dyDescent="0.25">
      <c r="A7" s="8">
        <v>2</v>
      </c>
      <c r="B7" s="5">
        <v>5</v>
      </c>
      <c r="C7" s="5">
        <v>0</v>
      </c>
      <c r="D7" s="5">
        <v>0</v>
      </c>
      <c r="E7" s="5">
        <v>0</v>
      </c>
      <c r="F7" s="5">
        <f t="shared" si="6"/>
        <v>0.6</v>
      </c>
      <c r="G7" s="5">
        <f t="shared" si="7"/>
        <v>0.4</v>
      </c>
      <c r="H7" s="5">
        <f t="shared" si="8"/>
        <v>-0.2</v>
      </c>
      <c r="I7" s="5">
        <f t="shared" si="0"/>
        <v>0.2</v>
      </c>
      <c r="J7" s="5">
        <f t="shared" si="1"/>
        <v>1</v>
      </c>
      <c r="K7" s="5">
        <f t="shared" si="2"/>
        <v>-1</v>
      </c>
      <c r="L7" s="5">
        <f t="shared" si="3"/>
        <v>0</v>
      </c>
      <c r="M7" s="5">
        <f t="shared" si="4"/>
        <v>0</v>
      </c>
      <c r="N7" s="5">
        <f t="shared" si="5"/>
        <v>0.5</v>
      </c>
      <c r="P7" s="1">
        <f t="shared" si="9"/>
        <v>1</v>
      </c>
    </row>
    <row r="8" spans="1:18" x14ac:dyDescent="0.25">
      <c r="A8" s="8"/>
      <c r="B8" s="5">
        <v>6</v>
      </c>
      <c r="C8" s="5">
        <v>0</v>
      </c>
      <c r="D8" s="5">
        <v>1</v>
      </c>
      <c r="E8" s="5">
        <v>0</v>
      </c>
      <c r="F8" s="5">
        <f t="shared" si="6"/>
        <v>0.6</v>
      </c>
      <c r="G8" s="5">
        <f t="shared" si="7"/>
        <v>0.4</v>
      </c>
      <c r="H8" s="5">
        <f t="shared" si="8"/>
        <v>0.3</v>
      </c>
      <c r="I8" s="5">
        <f t="shared" si="0"/>
        <v>0.10000000000000003</v>
      </c>
      <c r="J8" s="5">
        <f t="shared" si="1"/>
        <v>1</v>
      </c>
      <c r="K8" s="5">
        <f t="shared" si="2"/>
        <v>-1</v>
      </c>
      <c r="L8" s="5">
        <f t="shared" si="3"/>
        <v>0</v>
      </c>
      <c r="M8" s="5">
        <f t="shared" si="4"/>
        <v>-0.5</v>
      </c>
      <c r="N8" s="5">
        <f t="shared" si="5"/>
        <v>0.5</v>
      </c>
      <c r="P8" s="1">
        <f t="shared" si="9"/>
        <v>1</v>
      </c>
    </row>
    <row r="9" spans="1:18" x14ac:dyDescent="0.25">
      <c r="A9" s="8"/>
      <c r="B9" s="5">
        <v>7</v>
      </c>
      <c r="C9" s="5">
        <v>1</v>
      </c>
      <c r="D9" s="5">
        <v>0</v>
      </c>
      <c r="E9" s="5">
        <v>0</v>
      </c>
      <c r="F9" s="5">
        <f t="shared" si="6"/>
        <v>0.6</v>
      </c>
      <c r="G9" s="5">
        <f t="shared" si="7"/>
        <v>-9.9999999999999978E-2</v>
      </c>
      <c r="H9" s="5">
        <f t="shared" si="8"/>
        <v>0.8</v>
      </c>
      <c r="I9" s="5">
        <f t="shared" si="0"/>
        <v>-0.20000000000000007</v>
      </c>
      <c r="J9" s="5">
        <f t="shared" si="1"/>
        <v>0</v>
      </c>
      <c r="K9" s="5">
        <f t="shared" si="2"/>
        <v>0</v>
      </c>
      <c r="L9" s="5">
        <f t="shared" si="3"/>
        <v>0</v>
      </c>
      <c r="M9" s="5">
        <f t="shared" si="4"/>
        <v>0</v>
      </c>
      <c r="N9" s="5">
        <f t="shared" si="5"/>
        <v>0</v>
      </c>
      <c r="P9" s="1">
        <f t="shared" si="9"/>
        <v>0</v>
      </c>
    </row>
    <row r="10" spans="1:18" x14ac:dyDescent="0.25">
      <c r="A10" s="8"/>
      <c r="B10" s="5">
        <v>8</v>
      </c>
      <c r="C10" s="5">
        <v>1</v>
      </c>
      <c r="D10" s="5">
        <v>1</v>
      </c>
      <c r="E10" s="5">
        <v>1</v>
      </c>
      <c r="F10" s="5">
        <f t="shared" si="6"/>
        <v>0.6</v>
      </c>
      <c r="G10" s="5">
        <f t="shared" si="7"/>
        <v>-9.9999999999999978E-2</v>
      </c>
      <c r="H10" s="5">
        <f t="shared" si="8"/>
        <v>0.8</v>
      </c>
      <c r="I10" s="5">
        <f t="shared" si="0"/>
        <v>-0.30000000000000004</v>
      </c>
      <c r="J10" s="5">
        <f t="shared" si="1"/>
        <v>0</v>
      </c>
      <c r="K10" s="5">
        <f t="shared" si="2"/>
        <v>1</v>
      </c>
      <c r="L10" s="5">
        <f t="shared" si="3"/>
        <v>0.5</v>
      </c>
      <c r="M10" s="5">
        <f t="shared" si="4"/>
        <v>0.5</v>
      </c>
      <c r="N10" s="5">
        <f t="shared" si="5"/>
        <v>-0.5</v>
      </c>
      <c r="P10" s="1">
        <f t="shared" si="9"/>
        <v>1</v>
      </c>
      <c r="Q10" s="1" t="s">
        <v>15</v>
      </c>
      <c r="R10" s="1">
        <f>SUM(P7:P10)/4</f>
        <v>0.75</v>
      </c>
    </row>
    <row r="11" spans="1:18" x14ac:dyDescent="0.25">
      <c r="A11" s="10">
        <v>3</v>
      </c>
      <c r="B11" s="6">
        <v>9</v>
      </c>
      <c r="C11" s="6">
        <v>0</v>
      </c>
      <c r="D11" s="6">
        <v>0</v>
      </c>
      <c r="E11" s="6">
        <v>0</v>
      </c>
      <c r="F11" s="6">
        <f t="shared" si="6"/>
        <v>1.1000000000000001</v>
      </c>
      <c r="G11" s="6">
        <f t="shared" si="7"/>
        <v>0.4</v>
      </c>
      <c r="H11" s="6">
        <f t="shared" si="8"/>
        <v>0.30000000000000004</v>
      </c>
      <c r="I11" s="6">
        <f t="shared" si="0"/>
        <v>-0.30000000000000004</v>
      </c>
      <c r="J11" s="6">
        <f t="shared" si="1"/>
        <v>0</v>
      </c>
      <c r="K11" s="6">
        <f t="shared" si="2"/>
        <v>0</v>
      </c>
      <c r="L11" s="6">
        <f t="shared" si="3"/>
        <v>0</v>
      </c>
      <c r="M11" s="6">
        <f t="shared" si="4"/>
        <v>0</v>
      </c>
      <c r="N11" s="6">
        <f t="shared" si="5"/>
        <v>0</v>
      </c>
      <c r="P11" s="1">
        <f t="shared" si="9"/>
        <v>0</v>
      </c>
    </row>
    <row r="12" spans="1:18" x14ac:dyDescent="0.25">
      <c r="A12" s="10"/>
      <c r="B12" s="6">
        <v>10</v>
      </c>
      <c r="C12" s="6">
        <v>0</v>
      </c>
      <c r="D12" s="6">
        <v>1</v>
      </c>
      <c r="E12" s="6">
        <v>0</v>
      </c>
      <c r="F12" s="6">
        <f t="shared" si="6"/>
        <v>1.1000000000000001</v>
      </c>
      <c r="G12" s="6">
        <f t="shared" si="7"/>
        <v>0.4</v>
      </c>
      <c r="H12" s="6">
        <f t="shared" si="8"/>
        <v>0.30000000000000004</v>
      </c>
      <c r="I12" s="6">
        <f t="shared" si="0"/>
        <v>9.9999999999999978E-2</v>
      </c>
      <c r="J12" s="6">
        <f t="shared" si="1"/>
        <v>1</v>
      </c>
      <c r="K12" s="6">
        <f t="shared" si="2"/>
        <v>-1</v>
      </c>
      <c r="L12" s="6">
        <f t="shared" si="3"/>
        <v>0</v>
      </c>
      <c r="M12" s="6">
        <f t="shared" si="4"/>
        <v>-0.5</v>
      </c>
      <c r="N12" s="6">
        <f t="shared" si="5"/>
        <v>0.5</v>
      </c>
      <c r="P12" s="1">
        <f t="shared" si="9"/>
        <v>1</v>
      </c>
    </row>
    <row r="13" spans="1:18" x14ac:dyDescent="0.25">
      <c r="A13" s="10"/>
      <c r="B13" s="6">
        <v>11</v>
      </c>
      <c r="C13" s="6">
        <v>1</v>
      </c>
      <c r="D13" s="6">
        <v>0</v>
      </c>
      <c r="E13" s="6">
        <v>0</v>
      </c>
      <c r="F13" s="6">
        <f t="shared" si="6"/>
        <v>1.1000000000000001</v>
      </c>
      <c r="G13" s="6">
        <f t="shared" si="7"/>
        <v>-9.9999999999999978E-2</v>
      </c>
      <c r="H13" s="6">
        <f t="shared" si="8"/>
        <v>0.8</v>
      </c>
      <c r="I13" s="6">
        <f t="shared" si="0"/>
        <v>0.30000000000000004</v>
      </c>
      <c r="J13" s="6">
        <f t="shared" si="1"/>
        <v>1</v>
      </c>
      <c r="K13" s="6">
        <f t="shared" si="2"/>
        <v>-1</v>
      </c>
      <c r="L13" s="6">
        <f t="shared" si="3"/>
        <v>-0.5</v>
      </c>
      <c r="M13" s="6">
        <f t="shared" si="4"/>
        <v>0</v>
      </c>
      <c r="N13" s="6">
        <f t="shared" si="5"/>
        <v>0.5</v>
      </c>
      <c r="P13" s="1">
        <f t="shared" si="9"/>
        <v>1</v>
      </c>
    </row>
    <row r="14" spans="1:18" x14ac:dyDescent="0.25">
      <c r="A14" s="10"/>
      <c r="B14" s="6">
        <v>12</v>
      </c>
      <c r="C14" s="6">
        <v>1</v>
      </c>
      <c r="D14" s="6">
        <v>1</v>
      </c>
      <c r="E14" s="6">
        <v>1</v>
      </c>
      <c r="F14" s="6">
        <f t="shared" si="6"/>
        <v>0.60000000000000009</v>
      </c>
      <c r="G14" s="6">
        <f t="shared" si="7"/>
        <v>-9.9999999999999978E-2</v>
      </c>
      <c r="H14" s="6">
        <f t="shared" si="8"/>
        <v>1.3</v>
      </c>
      <c r="I14" s="6">
        <f t="shared" si="0"/>
        <v>-0.79999999999999993</v>
      </c>
      <c r="J14" s="6">
        <f t="shared" si="1"/>
        <v>0</v>
      </c>
      <c r="K14" s="6">
        <f t="shared" si="2"/>
        <v>1</v>
      </c>
      <c r="L14" s="6">
        <f t="shared" si="3"/>
        <v>0.5</v>
      </c>
      <c r="M14" s="6">
        <f t="shared" si="4"/>
        <v>0.5</v>
      </c>
      <c r="N14" s="6">
        <f t="shared" si="5"/>
        <v>-0.5</v>
      </c>
      <c r="P14" s="1">
        <f t="shared" si="9"/>
        <v>1</v>
      </c>
      <c r="Q14" s="1" t="s">
        <v>15</v>
      </c>
      <c r="R14" s="1">
        <f>SUM(P11:P14)/4</f>
        <v>0.75</v>
      </c>
    </row>
    <row r="15" spans="1:18" x14ac:dyDescent="0.25">
      <c r="A15" s="11">
        <v>4</v>
      </c>
      <c r="B15" s="7">
        <v>13</v>
      </c>
      <c r="C15" s="7">
        <v>0</v>
      </c>
      <c r="D15" s="7">
        <v>0</v>
      </c>
      <c r="E15" s="7">
        <v>0</v>
      </c>
      <c r="F15" s="7">
        <f t="shared" si="6"/>
        <v>1.1000000000000001</v>
      </c>
      <c r="G15" s="7">
        <f t="shared" si="7"/>
        <v>0.4</v>
      </c>
      <c r="H15" s="7">
        <f t="shared" si="8"/>
        <v>0.8</v>
      </c>
      <c r="I15" s="7">
        <f t="shared" si="0"/>
        <v>-0.8</v>
      </c>
      <c r="J15" s="7">
        <f t="shared" si="1"/>
        <v>0</v>
      </c>
      <c r="K15" s="7">
        <f t="shared" si="2"/>
        <v>0</v>
      </c>
      <c r="L15" s="7">
        <f t="shared" si="3"/>
        <v>0</v>
      </c>
      <c r="M15" s="7">
        <f t="shared" si="4"/>
        <v>0</v>
      </c>
      <c r="N15" s="7">
        <f t="shared" si="5"/>
        <v>0</v>
      </c>
      <c r="P15" s="1">
        <f t="shared" si="9"/>
        <v>0</v>
      </c>
    </row>
    <row r="16" spans="1:18" x14ac:dyDescent="0.25">
      <c r="A16" s="11"/>
      <c r="B16" s="7">
        <v>14</v>
      </c>
      <c r="C16" s="7">
        <v>0</v>
      </c>
      <c r="D16" s="7">
        <v>1</v>
      </c>
      <c r="E16" s="7">
        <v>0</v>
      </c>
      <c r="F16" s="7">
        <f t="shared" si="6"/>
        <v>1.1000000000000001</v>
      </c>
      <c r="G16" s="7">
        <f t="shared" si="7"/>
        <v>0.4</v>
      </c>
      <c r="H16" s="7">
        <f t="shared" si="8"/>
        <v>0.8</v>
      </c>
      <c r="I16" s="7">
        <f t="shared" si="0"/>
        <v>-0.4</v>
      </c>
      <c r="J16" s="7">
        <f t="shared" si="1"/>
        <v>0</v>
      </c>
      <c r="K16" s="7">
        <f t="shared" si="2"/>
        <v>0</v>
      </c>
      <c r="L16" s="7">
        <f t="shared" si="3"/>
        <v>0</v>
      </c>
      <c r="M16" s="7">
        <f t="shared" si="4"/>
        <v>0</v>
      </c>
      <c r="N16" s="7">
        <f t="shared" si="5"/>
        <v>0</v>
      </c>
      <c r="P16" s="1">
        <f t="shared" si="9"/>
        <v>0</v>
      </c>
    </row>
    <row r="17" spans="1:18" x14ac:dyDescent="0.25">
      <c r="A17" s="11"/>
      <c r="B17" s="7">
        <v>15</v>
      </c>
      <c r="C17" s="7">
        <v>1</v>
      </c>
      <c r="D17" s="7">
        <v>0</v>
      </c>
      <c r="E17" s="7">
        <v>0</v>
      </c>
      <c r="F17" s="7">
        <f t="shared" si="6"/>
        <v>1.1000000000000001</v>
      </c>
      <c r="G17" s="7">
        <f t="shared" si="7"/>
        <v>0.4</v>
      </c>
      <c r="H17" s="7">
        <f t="shared" si="8"/>
        <v>0.8</v>
      </c>
      <c r="I17" s="7">
        <f t="shared" si="0"/>
        <v>0.30000000000000004</v>
      </c>
      <c r="J17" s="7">
        <f t="shared" si="1"/>
        <v>1</v>
      </c>
      <c r="K17" s="7">
        <f t="shared" si="2"/>
        <v>-1</v>
      </c>
      <c r="L17" s="7">
        <f t="shared" si="3"/>
        <v>-0.5</v>
      </c>
      <c r="M17" s="7">
        <f t="shared" si="4"/>
        <v>0</v>
      </c>
      <c r="N17" s="7">
        <f t="shared" si="5"/>
        <v>0.5</v>
      </c>
      <c r="P17" s="1">
        <f t="shared" si="9"/>
        <v>1</v>
      </c>
    </row>
    <row r="18" spans="1:18" x14ac:dyDescent="0.25">
      <c r="A18" s="11"/>
      <c r="B18" s="7">
        <v>16</v>
      </c>
      <c r="C18" s="7">
        <v>1</v>
      </c>
      <c r="D18" s="7">
        <v>1</v>
      </c>
      <c r="E18" s="7">
        <v>1</v>
      </c>
      <c r="F18" s="7">
        <f t="shared" si="6"/>
        <v>0.60000000000000009</v>
      </c>
      <c r="G18" s="7">
        <f t="shared" si="7"/>
        <v>0.4</v>
      </c>
      <c r="H18" s="7">
        <f t="shared" si="8"/>
        <v>1.3</v>
      </c>
      <c r="I18" s="7">
        <f t="shared" si="0"/>
        <v>-0.30000000000000004</v>
      </c>
      <c r="J18" s="7">
        <f t="shared" si="1"/>
        <v>0</v>
      </c>
      <c r="K18" s="7">
        <f t="shared" si="2"/>
        <v>1</v>
      </c>
      <c r="L18" s="7">
        <f t="shared" si="3"/>
        <v>0.5</v>
      </c>
      <c r="M18" s="7">
        <f t="shared" si="4"/>
        <v>0.5</v>
      </c>
      <c r="N18" s="7">
        <f t="shared" si="5"/>
        <v>-0.5</v>
      </c>
      <c r="P18" s="1">
        <f t="shared" si="9"/>
        <v>1</v>
      </c>
      <c r="Q18" s="1" t="s">
        <v>15</v>
      </c>
      <c r="R18" s="1">
        <f>SUM(P15:P18)/4</f>
        <v>0.5</v>
      </c>
    </row>
    <row r="19" spans="1:18" x14ac:dyDescent="0.25">
      <c r="A19" s="9">
        <v>5</v>
      </c>
      <c r="B19" s="4">
        <v>17</v>
      </c>
      <c r="C19" s="4">
        <v>0</v>
      </c>
      <c r="D19" s="4">
        <v>0</v>
      </c>
      <c r="E19" s="4">
        <v>0</v>
      </c>
      <c r="F19" s="4">
        <f t="shared" si="6"/>
        <v>1.1000000000000001</v>
      </c>
      <c r="G19" s="4">
        <f t="shared" si="7"/>
        <v>0.9</v>
      </c>
      <c r="H19" s="4">
        <f t="shared" si="8"/>
        <v>0.8</v>
      </c>
      <c r="I19" s="4">
        <f t="shared" si="0"/>
        <v>-0.8</v>
      </c>
      <c r="J19" s="4">
        <f t="shared" si="1"/>
        <v>0</v>
      </c>
      <c r="K19" s="4">
        <f t="shared" si="2"/>
        <v>0</v>
      </c>
      <c r="L19" s="4">
        <f t="shared" si="3"/>
        <v>0</v>
      </c>
      <c r="M19" s="4">
        <f t="shared" si="4"/>
        <v>0</v>
      </c>
      <c r="N19" s="4">
        <f t="shared" si="5"/>
        <v>0</v>
      </c>
      <c r="P19" s="1">
        <f t="shared" ref="P19:P22" si="10">K19^2</f>
        <v>0</v>
      </c>
    </row>
    <row r="20" spans="1:18" x14ac:dyDescent="0.25">
      <c r="A20" s="9"/>
      <c r="B20" s="4">
        <v>18</v>
      </c>
      <c r="C20" s="4">
        <v>0</v>
      </c>
      <c r="D20" s="4">
        <v>1</v>
      </c>
      <c r="E20" s="4">
        <v>0</v>
      </c>
      <c r="F20" s="4">
        <f t="shared" si="6"/>
        <v>1.1000000000000001</v>
      </c>
      <c r="G20" s="4">
        <f t="shared" si="7"/>
        <v>0.9</v>
      </c>
      <c r="H20" s="4">
        <f t="shared" si="8"/>
        <v>0.8</v>
      </c>
      <c r="I20" s="4">
        <f t="shared" si="0"/>
        <v>9.9999999999999978E-2</v>
      </c>
      <c r="J20" s="4">
        <f t="shared" si="1"/>
        <v>1</v>
      </c>
      <c r="K20" s="4">
        <f t="shared" si="2"/>
        <v>-1</v>
      </c>
      <c r="L20" s="4">
        <f t="shared" si="3"/>
        <v>0</v>
      </c>
      <c r="M20" s="4">
        <f t="shared" si="4"/>
        <v>-0.5</v>
      </c>
      <c r="N20" s="4">
        <f t="shared" si="5"/>
        <v>0.5</v>
      </c>
      <c r="P20" s="1">
        <f t="shared" si="10"/>
        <v>1</v>
      </c>
    </row>
    <row r="21" spans="1:18" x14ac:dyDescent="0.25">
      <c r="A21" s="9"/>
      <c r="B21" s="4">
        <v>19</v>
      </c>
      <c r="C21" s="4">
        <v>1</v>
      </c>
      <c r="D21" s="4">
        <v>0</v>
      </c>
      <c r="E21" s="4">
        <v>0</v>
      </c>
      <c r="F21" s="4">
        <f t="shared" si="6"/>
        <v>1.1000000000000001</v>
      </c>
      <c r="G21" s="4">
        <f t="shared" si="7"/>
        <v>0.4</v>
      </c>
      <c r="H21" s="4">
        <f t="shared" si="8"/>
        <v>1.3</v>
      </c>
      <c r="I21" s="4">
        <f t="shared" si="0"/>
        <v>-0.19999999999999996</v>
      </c>
      <c r="J21" s="4">
        <f t="shared" si="1"/>
        <v>0</v>
      </c>
      <c r="K21" s="4">
        <f t="shared" si="2"/>
        <v>0</v>
      </c>
      <c r="L21" s="4">
        <f t="shared" si="3"/>
        <v>0</v>
      </c>
      <c r="M21" s="4">
        <f t="shared" si="4"/>
        <v>0</v>
      </c>
      <c r="N21" s="4">
        <f t="shared" si="5"/>
        <v>0</v>
      </c>
      <c r="P21" s="1">
        <f t="shared" si="10"/>
        <v>0</v>
      </c>
    </row>
    <row r="22" spans="1:18" x14ac:dyDescent="0.25">
      <c r="A22" s="9"/>
      <c r="B22" s="4">
        <v>20</v>
      </c>
      <c r="C22" s="4">
        <v>1</v>
      </c>
      <c r="D22" s="4">
        <v>1</v>
      </c>
      <c r="E22" s="4">
        <v>1</v>
      </c>
      <c r="F22" s="4">
        <f t="shared" si="6"/>
        <v>1.1000000000000001</v>
      </c>
      <c r="G22" s="4">
        <f t="shared" si="7"/>
        <v>0.4</v>
      </c>
      <c r="H22" s="4">
        <f t="shared" si="8"/>
        <v>1.3</v>
      </c>
      <c r="I22" s="4">
        <f t="shared" si="0"/>
        <v>0.19999999999999996</v>
      </c>
      <c r="J22" s="4">
        <f t="shared" si="1"/>
        <v>1</v>
      </c>
      <c r="K22" s="4">
        <f t="shared" si="2"/>
        <v>0</v>
      </c>
      <c r="L22" s="4">
        <f t="shared" si="3"/>
        <v>0</v>
      </c>
      <c r="M22" s="4">
        <f t="shared" si="4"/>
        <v>0</v>
      </c>
      <c r="N22" s="4">
        <f t="shared" si="5"/>
        <v>0</v>
      </c>
      <c r="P22" s="1">
        <f t="shared" si="10"/>
        <v>0</v>
      </c>
      <c r="Q22" s="1" t="s">
        <v>15</v>
      </c>
      <c r="R22" s="1">
        <f>SUM(P19:P22)/4</f>
        <v>0.25</v>
      </c>
    </row>
    <row r="23" spans="1:18" x14ac:dyDescent="0.25">
      <c r="A23" s="8">
        <v>6</v>
      </c>
      <c r="B23" s="5">
        <v>21</v>
      </c>
      <c r="C23" s="5">
        <v>0</v>
      </c>
      <c r="D23" s="5">
        <v>0</v>
      </c>
      <c r="E23" s="5">
        <v>0</v>
      </c>
      <c r="F23" s="5">
        <f t="shared" si="6"/>
        <v>1.1000000000000001</v>
      </c>
      <c r="G23" s="5">
        <f t="shared" si="7"/>
        <v>0.4</v>
      </c>
      <c r="H23" s="5">
        <f t="shared" si="8"/>
        <v>1.3</v>
      </c>
      <c r="I23" s="5">
        <f t="shared" si="0"/>
        <v>-1.3</v>
      </c>
      <c r="J23" s="5">
        <f t="shared" si="1"/>
        <v>0</v>
      </c>
      <c r="K23" s="5">
        <f t="shared" si="2"/>
        <v>0</v>
      </c>
      <c r="L23" s="5">
        <f t="shared" si="3"/>
        <v>0</v>
      </c>
      <c r="M23" s="5">
        <f t="shared" si="4"/>
        <v>0</v>
      </c>
      <c r="N23" s="5">
        <f t="shared" si="5"/>
        <v>0</v>
      </c>
      <c r="P23" s="1">
        <f t="shared" ref="P23:P26" si="11">K23^2</f>
        <v>0</v>
      </c>
    </row>
    <row r="24" spans="1:18" x14ac:dyDescent="0.25">
      <c r="A24" s="8"/>
      <c r="B24" s="5">
        <v>22</v>
      </c>
      <c r="C24" s="5">
        <v>0</v>
      </c>
      <c r="D24" s="5">
        <v>1</v>
      </c>
      <c r="E24" s="5">
        <v>0</v>
      </c>
      <c r="F24" s="5">
        <f t="shared" si="6"/>
        <v>1.1000000000000001</v>
      </c>
      <c r="G24" s="5">
        <f t="shared" si="7"/>
        <v>0.4</v>
      </c>
      <c r="H24" s="5">
        <f t="shared" si="8"/>
        <v>1.3</v>
      </c>
      <c r="I24" s="5">
        <f t="shared" si="0"/>
        <v>-0.9</v>
      </c>
      <c r="J24" s="5">
        <f t="shared" si="1"/>
        <v>0</v>
      </c>
      <c r="K24" s="5">
        <f t="shared" si="2"/>
        <v>0</v>
      </c>
      <c r="L24" s="5">
        <f t="shared" si="3"/>
        <v>0</v>
      </c>
      <c r="M24" s="5">
        <f t="shared" si="4"/>
        <v>0</v>
      </c>
      <c r="N24" s="5">
        <f t="shared" si="5"/>
        <v>0</v>
      </c>
      <c r="P24" s="1">
        <f t="shared" si="11"/>
        <v>0</v>
      </c>
    </row>
    <row r="25" spans="1:18" x14ac:dyDescent="0.25">
      <c r="A25" s="8"/>
      <c r="B25" s="5">
        <v>23</v>
      </c>
      <c r="C25" s="5">
        <v>1</v>
      </c>
      <c r="D25" s="5">
        <v>0</v>
      </c>
      <c r="E25" s="5">
        <v>0</v>
      </c>
      <c r="F25" s="5">
        <f t="shared" si="6"/>
        <v>1.1000000000000001</v>
      </c>
      <c r="G25" s="5">
        <f t="shared" si="7"/>
        <v>0.4</v>
      </c>
      <c r="H25" s="5">
        <f t="shared" si="8"/>
        <v>1.3</v>
      </c>
      <c r="I25" s="5">
        <f t="shared" si="0"/>
        <v>-0.19999999999999996</v>
      </c>
      <c r="J25" s="5">
        <f t="shared" si="1"/>
        <v>0</v>
      </c>
      <c r="K25" s="5">
        <f t="shared" si="2"/>
        <v>0</v>
      </c>
      <c r="L25" s="5">
        <f t="shared" si="3"/>
        <v>0</v>
      </c>
      <c r="M25" s="5">
        <f t="shared" si="4"/>
        <v>0</v>
      </c>
      <c r="N25" s="5">
        <f t="shared" si="5"/>
        <v>0</v>
      </c>
      <c r="P25" s="1">
        <f t="shared" si="11"/>
        <v>0</v>
      </c>
    </row>
    <row r="26" spans="1:18" x14ac:dyDescent="0.25">
      <c r="A26" s="8"/>
      <c r="B26" s="5">
        <v>24</v>
      </c>
      <c r="C26" s="5">
        <v>1</v>
      </c>
      <c r="D26" s="5">
        <v>1</v>
      </c>
      <c r="E26" s="5">
        <v>1</v>
      </c>
      <c r="F26" s="5">
        <f t="shared" si="6"/>
        <v>1.1000000000000001</v>
      </c>
      <c r="G26" s="5">
        <f t="shared" si="7"/>
        <v>0.4</v>
      </c>
      <c r="H26" s="5">
        <f t="shared" si="8"/>
        <v>1.3</v>
      </c>
      <c r="I26" s="5">
        <f t="shared" si="0"/>
        <v>0.19999999999999996</v>
      </c>
      <c r="J26" s="5">
        <f t="shared" si="1"/>
        <v>1</v>
      </c>
      <c r="K26" s="5">
        <f t="shared" si="2"/>
        <v>0</v>
      </c>
      <c r="L26" s="5">
        <f t="shared" si="3"/>
        <v>0</v>
      </c>
      <c r="M26" s="5">
        <f t="shared" si="4"/>
        <v>0</v>
      </c>
      <c r="N26" s="5">
        <f t="shared" si="5"/>
        <v>0</v>
      </c>
      <c r="P26" s="1">
        <f t="shared" si="11"/>
        <v>0</v>
      </c>
      <c r="Q26" s="1" t="s">
        <v>15</v>
      </c>
      <c r="R26" s="1">
        <f>SUM(P23:P26)/4</f>
        <v>0</v>
      </c>
    </row>
  </sheetData>
  <mergeCells count="6">
    <mergeCell ref="A23:A26"/>
    <mergeCell ref="A3:A6"/>
    <mergeCell ref="A7:A10"/>
    <mergeCell ref="A11:A14"/>
    <mergeCell ref="A15:A18"/>
    <mergeCell ref="A19:A2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9ECC0A3D950A4B93D7FB3E4B3F7C9B" ma:contentTypeVersion="18" ma:contentTypeDescription="Create a new document." ma:contentTypeScope="" ma:versionID="604529a37919700f89f5e7f7e134aca5">
  <xsd:schema xmlns:xsd="http://www.w3.org/2001/XMLSchema" xmlns:xs="http://www.w3.org/2001/XMLSchema" xmlns:p="http://schemas.microsoft.com/office/2006/metadata/properties" xmlns:ns2="0049428e-c200-4aa5-b534-fec1b8257d7c" xmlns:ns3="b75875cb-83d5-471a-91a5-5cda9cefdfb0" targetNamespace="http://schemas.microsoft.com/office/2006/metadata/properties" ma:root="true" ma:fieldsID="9846a2d88e57a8df16f2ac31e28494a1" ns2:_="" ns3:_="">
    <xsd:import namespace="0049428e-c200-4aa5-b534-fec1b8257d7c"/>
    <xsd:import namespace="b75875cb-83d5-471a-91a5-5cda9cefdf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49428e-c200-4aa5-b534-fec1b8257d7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ff49d74-f001-4415-baf8-c8e6aa96c2b5}" ma:internalName="TaxCatchAll" ma:showField="CatchAllData" ma:web="0049428e-c200-4aa5-b534-fec1b8257d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5875cb-83d5-471a-91a5-5cda9cefdf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Location" ma:index="17" nillable="true" ma:displayName="MediaService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fcb29a4-fff7-42c0-9681-a08b773faf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5875cb-83d5-471a-91a5-5cda9cefdfb0">
      <Terms xmlns="http://schemas.microsoft.com/office/infopath/2007/PartnerControls"/>
    </lcf76f155ced4ddcb4097134ff3c332f>
    <TaxCatchAll xmlns="0049428e-c200-4aa5-b534-fec1b8257d7c" xsi:nil="true"/>
  </documentManagement>
</p:properties>
</file>

<file path=customXml/itemProps1.xml><?xml version="1.0" encoding="utf-8"?>
<ds:datastoreItem xmlns:ds="http://schemas.openxmlformats.org/officeDocument/2006/customXml" ds:itemID="{E2AD42FF-5458-4199-B94C-FF8361210A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D91B5A-122B-42A7-9C87-B5EE50D12547}"/>
</file>

<file path=customXml/itemProps3.xml><?xml version="1.0" encoding="utf-8"?>
<ds:datastoreItem xmlns:ds="http://schemas.openxmlformats.org/officeDocument/2006/customXml" ds:itemID="{9720FE5B-B872-41C4-8674-3CF7AEB01ECF}">
  <ds:schemaRefs>
    <ds:schemaRef ds:uri="4263a8c4-8d42-49b9-803d-aac0dd5b9235"/>
    <ds:schemaRef ds:uri="http://purl.org/dc/elements/1.1/"/>
    <ds:schemaRef ds:uri="95a5da95-e705-4b9a-bf33-237d38853777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Tang Tiong Yew</dc:creator>
  <cp:lastModifiedBy>Dr Tang Tiong Yew</cp:lastModifiedBy>
  <dcterms:created xsi:type="dcterms:W3CDTF">2023-10-27T07:38:51Z</dcterms:created>
  <dcterms:modified xsi:type="dcterms:W3CDTF">2024-10-28T14:43:36Z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0x010100459ECC0A3D950A4B93D7FB3E4B3F7C9B</vt:lpwstr>
  </property>
</Properties>
</file>